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macbookair/Desktop/"/>
    </mc:Choice>
  </mc:AlternateContent>
  <xr:revisionPtr revIDLastSave="0" documentId="13_ncr:1_{629F94EE-5336-384C-94BD-A7F429B24368}" xr6:coauthVersionLast="47" xr6:coauthVersionMax="47" xr10:uidLastSave="{00000000-0000-0000-0000-000000000000}"/>
  <bookViews>
    <workbookView xWindow="0" yWindow="0" windowWidth="28800" windowHeight="18000" activeTab="3" xr2:uid="{00000000-000D-0000-FFFF-FFFF00000000}"/>
  </bookViews>
  <sheets>
    <sheet name="Note" sheetId="1" r:id="rId1"/>
    <sheet name="People" sheetId="5" r:id="rId2"/>
    <sheet name="WorkingAge_YoY" sheetId="24" r:id="rId3"/>
    <sheet name="Labour_Market_Structure" sheetId="28" r:id="rId4"/>
    <sheet name="WorkingAge_Aggregated " sheetId="26" r:id="rId5"/>
    <sheet name="WorkingAge_LabourIndicators" sheetId="22" r:id="rId6"/>
    <sheet name="Employment" sheetId="7" r:id="rId7"/>
    <sheet name="Unemployment" sheetId="8" r:id="rId8"/>
    <sheet name="Activity" sheetId="9" r:id="rId9"/>
    <sheet name="Inactivity" sheetId="10" r:id="rId10"/>
    <sheet name="Employment (%)" sheetId="12" r:id="rId11"/>
    <sheet name="Unemployment (%)" sheetId="13" r:id="rId12"/>
    <sheet name="Activity (%)" sheetId="14" r:id="rId13"/>
    <sheet name="Inactivity (%)" sheetId="15" r:id="rId14"/>
    <sheet name="Working_Age_Labour_Status_Level" sheetId="19" r:id="rId15"/>
    <sheet name="Working_Age_Labour_Status_Rate" sheetId="16" r:id="rId16"/>
  </sheets>
  <definedNames>
    <definedName name="ExternalData_1" localSheetId="10" hidden="1">'Employment (%)'!$A$1:$H$7</definedName>
    <definedName name="ExternalData_1" localSheetId="1" hidden="1">People!$A$1:$H$49</definedName>
    <definedName name="ExternalData_1" localSheetId="15" hidden="1">Working_Age_Labour_Status_Rate!$A$1:$H$13</definedName>
    <definedName name="ExternalData_1" localSheetId="4" hidden="1">'WorkingAge_Aggregated '!$A$1:$K$6</definedName>
    <definedName name="ExternalData_2" localSheetId="6" hidden="1">Employment!$A$1:$G$8</definedName>
    <definedName name="ExternalData_2" localSheetId="3" hidden="1">Labour_Market_Structure!$A$1:$E$7</definedName>
    <definedName name="ExternalData_2" localSheetId="11" hidden="1">'Unemployment (%)'!$A$1:$H$7</definedName>
    <definedName name="ExternalData_3" localSheetId="12" hidden="1">'Activity (%)'!$A$1:$H$7</definedName>
    <definedName name="ExternalData_3" localSheetId="7" hidden="1">Unemployment!$A$1:$G$8</definedName>
    <definedName name="ExternalData_3" localSheetId="14" hidden="1">Working_Age_Labour_Status_Level!$A$1:$G$15</definedName>
    <definedName name="ExternalData_4" localSheetId="8" hidden="1">Activity!$A$1:$G$8</definedName>
    <definedName name="ExternalData_4" localSheetId="13" hidden="1">'Inactivity (%)'!$A$1:$H$7</definedName>
    <definedName name="ExternalData_4" localSheetId="5" hidden="1">WorkingAge_LabourIndicators!$A$1:$K$26</definedName>
    <definedName name="ExternalData_5" localSheetId="9" hidden="1">Inactivity!$A$1:$G$8</definedName>
    <definedName name="ExternalData_6" localSheetId="2" hidden="1">WorkingAge_YoY!$A$1:$L$6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8" l="1"/>
  <c r="D7" i="28"/>
  <c r="E7" i="28"/>
  <c r="B7" i="28"/>
  <c r="L4" i="24"/>
  <c r="L5" i="24"/>
  <c r="L6" i="24"/>
  <c r="L3" i="24"/>
  <c r="K4" i="24"/>
  <c r="K3" i="24"/>
  <c r="K5" i="24"/>
  <c r="K6" i="24"/>
  <c r="D8" i="10"/>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362F35-C36B-FF4E-B245-F1F3891454D2}" keepAlive="1" name="Query - Labour_Market_Structure" description="Connection to the 'Labour_Market_Structure' query in the workbook." type="5" refreshedVersion="8" background="1" saveData="1">
    <dbPr connection="Provider=Microsoft.Mashup.OleDb.1;Data Source=$Workbook$;Location=Labour_Market_Structure;Extended Properties=&quot;&quot;" command="SELECT * FROM [Labour_Market_Structure]"/>
  </connection>
</connections>
</file>

<file path=xl/sharedStrings.xml><?xml version="1.0" encoding="utf-8"?>
<sst xmlns="http://schemas.openxmlformats.org/spreadsheetml/2006/main" count="484" uniqueCount="42">
  <si>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</si>
  <si>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</si>
  <si>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</si>
  <si>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</si>
  <si>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</si>
  <si>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</si>
  <si>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</si>
  <si>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</si>
  <si>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</si>
  <si>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</si>
  <si>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</si>
  <si>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</si>
  <si>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</si>
  <si>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</si>
  <si>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</si>
  <si>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</si>
  <si>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</si>
  <si>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</si>
  <si>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</si>
  <si>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</si>
  <si>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</si>
  <si>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</si>
  <si>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</si>
  <si>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</si>
  <si>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</si>
  <si>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</si>
  <si>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</si>
  <si>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</si>
  <si>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</si>
  <si>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</si>
  <si>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</si>
  <si>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</si>
  <si>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</si>
  <si>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</si>
  <si>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</si>
  <si>
    <t>Employment YoY Change</t>
  </si>
  <si>
    <t>Unemployment YoY Change</t>
  </si>
  <si>
    <t>Employment Rate YoY Change</t>
  </si>
  <si>
    <t>Unemployment Rate YoY Change</t>
  </si>
  <si>
    <t>Employment Share of Activity</t>
  </si>
  <si>
    <t>Unemployment Share of Activity</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</si>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</sst>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4"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0" fillId="0" borderId="0" xfId="0" applyAlignment="1">
      <alignment wrapText="1"/>
    </xf>
    <xf numFmtId="10" fontId="0" fillId="0" borderId="0" xfId="0" applyNumberFormat="1"/>
    <xf numFmtId="0" fontId="0" fillId="0" borderId="0" xfId="0" applyAlignment="1">
      <alignment horizontal="center" wrapText="1"/>
    </xf>
    <xf numFmtId="0" fontId="10" fillId="0" borderId="0" xfId="0" applyFont="1" applyAlignment="1">
      <alignment horizontal="center"/>
    </xf>
    <xf numFmtId="0" fontId="0" fillId="0" borderId="0" xfId="0" applyNumberFormat="1"/>
    <xf numFmtId="0" fontId="0" fillId="0" borderId="0" xfId="0" applyNumberFormat="1" applyAlignment="1">
      <alignment horizontal="center"/>
    </xf>
    <xf numFmtId="43" fontId="0" fillId="0" borderId="0" xfId="1" applyNumberFormat="1" applyFont="1" applyAlignment="1">
      <alignment horizontal="center"/>
    </xf>
  </cellXfs>
  <cellStyles count="3">
    <cellStyle name="Comma [0]" xfId="1" builtinId="6"/>
    <cellStyle name="Normal" xfId="0" builtinId="0"/>
    <cellStyle name="Per cent" xfId="2" builtinId="5"/>
  </cellStyles>
  <dxfs count="6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1">
                    <a:lumMod val="20000"/>
                    <a:lumOff val="80000"/>
                  </a:schemeClr>
                </a:solidFill>
              </a:rPr>
              <a:t>Labour Market Shock &amp; Recovery Dashboard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8153980752407"/>
          <c:y val="0.24907407407407409"/>
          <c:w val="0.72065179352580933"/>
          <c:h val="0.46833369787109946"/>
        </c:manualLayout>
      </c:layout>
      <c:areaChart>
        <c:grouping val="stacked"/>
        <c:varyColors val="0"/>
        <c:ser>
          <c:idx val="0"/>
          <c:order val="0"/>
          <c:tx>
            <c:strRef>
              <c:f>WorkingAge_YoY!$B$1</c:f>
              <c:strCache>
                <c:ptCount val="1"/>
                <c:pt idx="0">
                  <c:v>Employment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WorkingAge_YoY!$B$2:$B$6</c:f>
              <c:numCache>
                <c:formatCode>General</c:formatCode>
                <c:ptCount val="5"/>
                <c:pt idx="0">
                  <c:v>31530856</c:v>
                </c:pt>
                <c:pt idx="1">
                  <c:v>31445488</c:v>
                </c:pt>
                <c:pt idx="2">
                  <c:v>31022539</c:v>
                </c:pt>
                <c:pt idx="3">
                  <c:v>31532386</c:v>
                </c:pt>
                <c:pt idx="4">
                  <c:v>31988853</c:v>
                </c:pt>
              </c:numCache>
            </c:numRef>
          </c:val>
          <c:extLst>
            <c:ext xmlns:c16="http://schemas.microsoft.com/office/drawing/2014/chart" uri="{C3380CC4-5D6E-409C-BE32-E72D297353CC}">
              <c16:uniqueId val="{00000000-DF32-9242-A825-6941E1760237}"/>
            </c:ext>
          </c:extLst>
        </c:ser>
        <c:ser>
          <c:idx val="1"/>
          <c:order val="1"/>
          <c:tx>
            <c:strRef>
              <c:f>WorkingAge_YoY!$C$1</c:f>
              <c:strCache>
                <c:ptCount val="1"/>
                <c:pt idx="0">
                  <c:v>Unemployment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WorkingAge_YoY!$C$2:$C$6</c:f>
              <c:numCache>
                <c:formatCode>General</c:formatCode>
                <c:ptCount val="5"/>
                <c:pt idx="0">
                  <c:v>1246657</c:v>
                </c:pt>
                <c:pt idx="1">
                  <c:v>1329202</c:v>
                </c:pt>
                <c:pt idx="2">
                  <c:v>1554869</c:v>
                </c:pt>
                <c:pt idx="3">
                  <c:v>1234457</c:v>
                </c:pt>
                <c:pt idx="4">
                  <c:v>1277635</c:v>
                </c:pt>
              </c:numCache>
            </c:numRef>
          </c:val>
          <c:extLst>
            <c:ext xmlns:c16="http://schemas.microsoft.com/office/drawing/2014/chart" uri="{C3380CC4-5D6E-409C-BE32-E72D297353CC}">
              <c16:uniqueId val="{00000001-DF32-9242-A825-6941E1760237}"/>
            </c:ext>
          </c:extLst>
        </c:ser>
        <c:dLbls>
          <c:showLegendKey val="0"/>
          <c:showVal val="0"/>
          <c:showCatName val="0"/>
          <c:showSerName val="0"/>
          <c:showPercent val="0"/>
          <c:showBubbleSize val="0"/>
        </c:dLbls>
        <c:axId val="1539175615"/>
        <c:axId val="1596537647"/>
      </c:areaChart>
      <c:barChart>
        <c:barDir val="col"/>
        <c:grouping val="clustered"/>
        <c:varyColors val="0"/>
        <c:ser>
          <c:idx val="2"/>
          <c:order val="2"/>
          <c:tx>
            <c:strRef>
              <c:f>WorkingAge_YoY!$D$1</c:f>
              <c:strCache>
                <c:ptCount val="1"/>
                <c:pt idx="0">
                  <c:v>Activity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WorkingAge_YoY!$A$2:$A$6</c:f>
              <c:strCache>
                <c:ptCount val="5"/>
                <c:pt idx="0">
                  <c:v>2018-19</c:v>
                </c:pt>
                <c:pt idx="1">
                  <c:v>2019-20</c:v>
                </c:pt>
                <c:pt idx="2">
                  <c:v>2020-21</c:v>
                </c:pt>
                <c:pt idx="3">
                  <c:v>2021-22</c:v>
                </c:pt>
                <c:pt idx="4">
                  <c:v>2022-23</c:v>
                </c:pt>
              </c:strCache>
            </c:strRef>
          </c:cat>
          <c:val>
            <c:numRef>
              <c:f>WorkingAge_YoY!$D$2:$D$6</c:f>
              <c:numCache>
                <c:formatCode>General</c:formatCode>
                <c:ptCount val="5"/>
                <c:pt idx="0">
                  <c:v>32777513</c:v>
                </c:pt>
                <c:pt idx="1">
                  <c:v>32774690</c:v>
                </c:pt>
                <c:pt idx="2">
                  <c:v>32577408</c:v>
                </c:pt>
                <c:pt idx="3">
                  <c:v>32766843</c:v>
                </c:pt>
                <c:pt idx="4">
                  <c:v>33266488</c:v>
                </c:pt>
              </c:numCache>
            </c:numRef>
          </c:val>
          <c:extLst>
            <c:ext xmlns:c16="http://schemas.microsoft.com/office/drawing/2014/chart" uri="{C3380CC4-5D6E-409C-BE32-E72D297353CC}">
              <c16:uniqueId val="{00000002-DF32-9242-A825-6941E1760237}"/>
            </c:ext>
          </c:extLst>
        </c:ser>
        <c:dLbls>
          <c:showLegendKey val="0"/>
          <c:showVal val="0"/>
          <c:showCatName val="0"/>
          <c:showSerName val="0"/>
          <c:showPercent val="0"/>
          <c:showBubbleSize val="0"/>
        </c:dLbls>
        <c:gapWidth val="150"/>
        <c:axId val="1539175615"/>
        <c:axId val="1596537647"/>
      </c:barChart>
      <c:catAx>
        <c:axId val="15391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37647"/>
        <c:crosses val="autoZero"/>
        <c:auto val="1"/>
        <c:lblAlgn val="ctr"/>
        <c:lblOffset val="100"/>
        <c:noMultiLvlLbl val="0"/>
      </c:catAx>
      <c:valAx>
        <c:axId val="1596537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175615"/>
        <c:crosses val="autoZero"/>
        <c:crossBetween val="between"/>
        <c:dispUnits>
          <c:builtInUnit val="hundredThousands"/>
          <c:dispUnitsLbl>
            <c:layout>
              <c:manualLayout>
                <c:xMode val="edge"/>
                <c:yMode val="edge"/>
                <c:x val="9.9903324584426939E-2"/>
                <c:y val="0.3509259259259259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a:t>
            </a:r>
            <a:r>
              <a:rPr lang="en-GB" sz="1400" b="0" i="0" u="none" strike="noStrike" baseline="0"/>
              <a:t>Labour Market Composition </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Labour_Market_Structure!$B$2:$D$2</c:f>
            </c:numRef>
          </c:val>
          <c:extLst>
            <c:ext xmlns:c16="http://schemas.microsoft.com/office/drawing/2014/chart" uri="{C3380CC4-5D6E-409C-BE32-E72D297353CC}">
              <c16:uniqueId val="{00000000-C3C1-3340-9AE0-1FCAE0C39A55}"/>
            </c:ext>
          </c:extLst>
        </c:ser>
        <c:ser>
          <c:idx val="1"/>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Labour_Market_Structure!$B$3:$D$3</c:f>
            </c:numRef>
          </c:val>
          <c:extLst>
            <c:ext xmlns:c16="http://schemas.microsoft.com/office/drawing/2014/chart" uri="{C3380CC4-5D6E-409C-BE32-E72D297353CC}">
              <c16:uniqueId val="{00000001-C3C1-3340-9AE0-1FCAE0C39A55}"/>
            </c:ext>
          </c:extLst>
        </c:ser>
        <c:ser>
          <c:idx val="2"/>
          <c:order val="2"/>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Labour_Market_Structure!$B$4:$D$4</c:f>
            </c:numRef>
          </c:val>
          <c:extLst>
            <c:ext xmlns:c16="http://schemas.microsoft.com/office/drawing/2014/chart" uri="{C3380CC4-5D6E-409C-BE32-E72D297353CC}">
              <c16:uniqueId val="{00000002-C3C1-3340-9AE0-1FCAE0C39A55}"/>
            </c:ext>
          </c:extLst>
        </c:ser>
        <c:ser>
          <c:idx val="3"/>
          <c:order val="3"/>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Labour_Market_Structure!$B$5:$D$5</c:f>
            </c:numRef>
          </c:val>
          <c:extLst>
            <c:ext xmlns:c16="http://schemas.microsoft.com/office/drawing/2014/chart" uri="{C3380CC4-5D6E-409C-BE32-E72D297353CC}">
              <c16:uniqueId val="{00000003-C3C1-3340-9AE0-1FCAE0C39A55}"/>
            </c:ext>
          </c:extLst>
        </c:ser>
        <c:ser>
          <c:idx val="4"/>
          <c:order val="4"/>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Labour_Market_Structure!$B$6:$D$6</c:f>
            </c:numRef>
          </c:val>
          <c:extLst>
            <c:ext xmlns:c16="http://schemas.microsoft.com/office/drawing/2014/chart" uri="{C3380CC4-5D6E-409C-BE32-E72D297353CC}">
              <c16:uniqueId val="{00000004-C3C1-3340-9AE0-1FCAE0C39A55}"/>
            </c:ext>
          </c:extLst>
        </c:ser>
        <c:ser>
          <c:idx val="5"/>
          <c:order val="5"/>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Labour_Market_Structure!$B$7:$D$7</c:f>
              <c:numCache>
                <c:formatCode>_(* #,##0.00_);_(* \(#,##0.00\);_(* "-"??_);_(@_)</c:formatCode>
                <c:ptCount val="3"/>
                <c:pt idx="0">
                  <c:v>31504024.399999999</c:v>
                </c:pt>
                <c:pt idx="1">
                  <c:v>1328564</c:v>
                </c:pt>
                <c:pt idx="2">
                  <c:v>9013789.5999999996</c:v>
                </c:pt>
              </c:numCache>
            </c:numRef>
          </c:val>
          <c:extLst>
            <c:ext xmlns:c16="http://schemas.microsoft.com/office/drawing/2014/chart" uri="{C3380CC4-5D6E-409C-BE32-E72D297353CC}">
              <c16:uniqueId val="{00000005-C3C1-3340-9AE0-1FCAE0C39A55}"/>
            </c:ext>
          </c:extLst>
        </c:ser>
        <c:dLbls>
          <c:showLegendKey val="0"/>
          <c:showVal val="1"/>
          <c:showCatName val="1"/>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650875</xdr:colOff>
      <xdr:row>7</xdr:row>
      <xdr:rowOff>111271</xdr:rowOff>
    </xdr:from>
    <xdr:to>
      <xdr:col>5</xdr:col>
      <xdr:colOff>27420</xdr:colOff>
      <xdr:row>24</xdr:row>
      <xdr:rowOff>33050</xdr:rowOff>
    </xdr:to>
    <xdr:graphicFrame macro="">
      <xdr:nvGraphicFramePr>
        <xdr:cNvPr id="8" name="Chart 7">
          <a:extLst>
            <a:ext uri="{FF2B5EF4-FFF2-40B4-BE49-F238E27FC236}">
              <a16:creationId xmlns:a16="http://schemas.microsoft.com/office/drawing/2014/main" id="{D9389275-B399-8682-7DDA-0FB8A3E8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634283</xdr:colOff>
      <xdr:row>8</xdr:row>
      <xdr:rowOff>95716</xdr:rowOff>
    </xdr:from>
    <xdr:to>
      <xdr:col>4</xdr:col>
      <xdr:colOff>764871</xdr:colOff>
      <xdr:row>25</xdr:row>
      <xdr:rowOff>33436</xdr:rowOff>
    </xdr:to>
    <xdr:graphicFrame macro="">
      <xdr:nvGraphicFramePr>
        <xdr:cNvPr id="18" name="Chart 17">
          <a:extLst>
            <a:ext uri="{FF2B5EF4-FFF2-40B4-BE49-F238E27FC236}">
              <a16:creationId xmlns:a16="http://schemas.microsoft.com/office/drawing/2014/main" id="{2CB88C67-A2DC-8456-5B6E-EB6EFA19C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6823807-C75A-1742-9583-1DCB5F0DD4EF}" autoFormatId="16" applyNumberFormats="0" applyBorderFormats="0" applyFontFormats="0" applyPatternFormats="0" applyAlignmentFormats="0" applyWidthHeightFormats="0">
  <queryTableRefresh nextId="6">
    <queryTableFields count="5">
      <queryTableField id="1" name="Year" tableColumnId="1"/>
      <queryTableField id="2" name="Employment" tableColumnId="2"/>
      <queryTableField id="3" name="Unemployment" tableColumnId="3"/>
      <queryTableField id="4" name="Inactivity" tableColumnId="4"/>
      <queryTableField id="5" name="Total" tableColumnId="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68"/>
    <tableColumn id="2" xr3:uid="{6816491D-B77B-B94E-9AC9-132E74567FE1}" name="Indicator" dataDxfId="67"/>
    <tableColumn id="3" xr3:uid="{8577DC78-4174-024D-A9C1-4EA6A0969318}" name="Measure" dataDxfId="66"/>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03185-33D4-FC4C-82ED-E3F99E0C8AA6}" name="WorkingAge_YoY" displayName="WorkingAge_YoY" ref="A1:L6" totalsRowShown="0" headerRowDxfId="65">
  <autoFilter ref="A1:L6" xr:uid="{9A603185-33D4-FC4C-82ED-E3F99E0C8AA6}"/>
  <sortState xmlns:xlrd2="http://schemas.microsoft.com/office/spreadsheetml/2017/richdata2" ref="A2:L6">
    <sortCondition ref="A1:A6"/>
  </sortState>
  <tableColumns count="12">
    <tableColumn id="1" xr3:uid="{609BAE3E-8A04-7C4C-BB81-CA29FC54EE5C}" name="Year" dataDxfId="64"/>
    <tableColumn id="2" xr3:uid="{69565D7A-EA98-DD49-94E6-2CBD6458F8FF}" name="Employment" dataDxfId="63"/>
    <tableColumn id="3" xr3:uid="{7F72AD6A-06F5-E044-B306-6B5F02FEF34F}" name="Unemployment" dataDxfId="62"/>
    <tableColumn id="4" xr3:uid="{05A489AB-15C6-4C42-91B4-421DE348CAE0}" name="Activity" dataDxfId="61"/>
    <tableColumn id="5" xr3:uid="{FDC95514-014B-3F41-90C6-C625A5921FFA}" name="Inactivity"/>
    <tableColumn id="6" xr3:uid="{7870F7D2-35B2-D94E-B541-488D98AD1336}" name="Unemployment Rate" dataDxfId="60"/>
    <tableColumn id="7" xr3:uid="{5A25066D-4F74-534D-B52E-0F276317B323}" name="Employment Rate" dataDxfId="59"/>
    <tableColumn id="8" xr3:uid="{1EE208CE-2FE3-364A-8A85-D9F3AFF25AC1}" name="Activity Rate" dataDxfId="58"/>
    <tableColumn id="9" xr3:uid="{A04044C2-374F-FD48-BF4A-0361E83C9E0A}" name="Employment YoY Change"/>
    <tableColumn id="10" xr3:uid="{A471C8F9-3A8C-FC4D-8AA2-3851F51F4BC2}" name="Unemployment YoY Change"/>
    <tableColumn id="11" xr3:uid="{C032C0A5-EC53-0941-8744-47F0C937442F}" name="Employment Rate YoY Change"/>
    <tableColumn id="12" xr3:uid="{2977C978-98E6-C14F-A0BF-1366E1FAF163}" name="Unemployment Rate YoY Chang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5F92CE-AF3A-9D47-8598-ED39727409CE}" name="Labour_Market_Structure" displayName="Labour_Market_Structure" ref="A1:E7" tableType="queryTable" totalsRowShown="0" headerRowDxfId="1" dataDxfId="0">
  <autoFilter ref="A1:E7" xr:uid="{555F92CE-AF3A-9D47-8598-ED39727409CE}">
    <filterColumn colId="0">
      <filters>
        <filter val="Average"/>
      </filters>
    </filterColumn>
  </autoFilter>
  <tableColumns count="5">
    <tableColumn id="1" xr3:uid="{FCDC1C5E-14B8-2842-A815-C66289A842F8}" uniqueName="1" name="Year" queryTableFieldId="1" dataDxfId="6"/>
    <tableColumn id="2" xr3:uid="{F2E77071-6141-0242-83FB-90A6EEF7002C}" uniqueName="2" name="Employment" queryTableFieldId="2" dataDxfId="5" dataCellStyle="Comma [0]"/>
    <tableColumn id="3" xr3:uid="{5C9ED25F-0F1C-2345-A8D8-9A3BE3628F8F}" uniqueName="3" name="Unemployment" queryTableFieldId="3" dataDxfId="4" dataCellStyle="Comma [0]"/>
    <tableColumn id="4" xr3:uid="{1F750AAE-7690-3846-85A4-4BDA8E82A70F}" uniqueName="4" name="Inactivity" queryTableFieldId="4" dataDxfId="3" dataCellStyle="Comma [0]"/>
    <tableColumn id="5" xr3:uid="{5A7C6825-56E0-5B46-8453-FE081735CB9A}" uniqueName="5" name="Total" queryTableFieldId="5" dataDxfId="2" dataCellStyle="Comma [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5DA622E-9553-264E-A7B5-80475EBCE5CF}" name="WorkingAge_Aggregated_1" displayName="WorkingAge_Aggregated_1" ref="A1:K6" totalsRowShown="0">
  <autoFilter ref="A1:K6" xr:uid="{B5DA622E-9553-264E-A7B5-80475EBCE5CF}"/>
  <tableColumns count="11">
    <tableColumn id="1" xr3:uid="{24E6EBD3-920C-D541-A383-99DF6BB074DA}" name="Year" dataDxfId="13"/>
    <tableColumn id="2" xr3:uid="{7B1E3CB0-3FB1-9542-91CB-59A86BF48F0A}" name="Employment"/>
    <tableColumn id="3" xr3:uid="{351AB842-35B5-7E41-8A84-92676AE64C4D}" name="Unemployment"/>
    <tableColumn id="4" xr3:uid="{94E10974-F1AA-0448-B51B-26904EE55429}" name="Activity"/>
    <tableColumn id="5" xr3:uid="{FB8731E1-7990-3447-957C-E2EF1DB86E4B}" name="Inactivity"/>
    <tableColumn id="6" xr3:uid="{D96580C8-530A-0043-A6EF-1092987981A1}" name="Unemployment Rate" dataDxfId="12"/>
    <tableColumn id="7" xr3:uid="{D5228925-B167-B248-80FB-A44DBEA48BF3}" name="Employment Rate" dataDxfId="11"/>
    <tableColumn id="8" xr3:uid="{C059DAB5-1DFB-1748-B98F-B38211DDD0A2}" name="Activity Rate" dataDxfId="10"/>
    <tableColumn id="9" xr3:uid="{878F1F4D-C5BA-254F-8720-0A022B9274E8}" name="Inactivity Rate" dataDxfId="9"/>
    <tableColumn id="10" xr3:uid="{2335FED2-26F2-AF43-B9FF-23F24532DB47}" name="Employment Share of Activity" dataDxfId="8"/>
    <tableColumn id="11" xr3:uid="{7008CAFB-793F-2546-8699-B573CCFC357B}" name="Unemployment Share of Activity" dataDxfId="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57">
  <autoFilter ref="A1:K26" xr:uid="{EB0D645C-F772-524C-AFF3-B304C0369902}"/>
  <sortState xmlns:xlrd2="http://schemas.microsoft.com/office/spreadsheetml/2017/richdata2" ref="A2:K26">
    <sortCondition ref="C1:C26"/>
  </sortState>
  <tableColumns count="11">
    <tableColumn id="1" xr3:uid="{2921ADBD-832B-6C4C-BE4E-6D57F7445B92}" name="Age Group" dataDxfId="56"/>
    <tableColumn id="3" xr3:uid="{BCA75532-FAD6-5D40-B86A-AAE2E5BF7D6F}" name="Measure" dataDxfId="55"/>
    <tableColumn id="4" xr3:uid="{07D0EE49-153E-384F-8603-0A0434E770D0}" name="Year" dataDxfId="54"/>
    <tableColumn id="6" xr3:uid="{0F3EA0AE-A56E-0547-9869-1593BF33CB77}" name="Employment" dataDxfId="53" dataCellStyle="Comma [0]"/>
    <tableColumn id="7" xr3:uid="{040A2CF6-1D1E-DB42-8791-42267074D04B}" name="Unemployment" dataDxfId="52" dataCellStyle="Comma [0]"/>
    <tableColumn id="8" xr3:uid="{40E0B226-CB54-CD4C-9B83-141696575B55}" name="Activity" dataDxfId="51" dataCellStyle="Comma [0]"/>
    <tableColumn id="9" xr3:uid="{FE724EB9-522A-0A42-B688-497F56ED47EF}" name="Inactivity" dataDxfId="50" dataCellStyle="Comma [0]"/>
    <tableColumn id="11" xr3:uid="{2B8022AB-A9BA-D046-8496-9B13DD4B4995}" name="Employment Rate" dataDxfId="49" dataCellStyle="Per cent"/>
    <tableColumn id="10" xr3:uid="{31298919-C36C-CC49-90B6-572D4AA34FB7}" name="Unemployment Rate" dataDxfId="48" dataCellStyle="Per cent"/>
    <tableColumn id="12" xr3:uid="{1E0BA8B1-DD26-8B48-B6CB-BC3F872D6BF7}" name="Activity Rate" dataDxfId="47" dataCellStyle="Per cent"/>
    <tableColumn id="13" xr3:uid="{F5BBF090-FDA4-D04E-8BCE-9E3C4EBEFD28}" name="Inactivity Rate" dataDxfId="46" dataCellStyle="Per ce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45" dataDxfId="44">
  <autoFilter ref="A1:G8" xr:uid="{1FB05618-2B30-CD49-BA3B-3DF5551DE4B1}"/>
  <tableColumns count="7">
    <tableColumn id="1" xr3:uid="{A919398F-5188-354D-8331-0A65969F8C72}" name="Age" dataDxfId="43"/>
    <tableColumn id="2" xr3:uid="{391BAC24-9EFD-5E46-AC79-BF9F57F6A51B}" name="Indicator" dataDxfId="42"/>
    <tableColumn id="4" xr3:uid="{584B2634-3124-3641-9C36-7CEF12B08468}" name="2018-19" dataDxfId="41" dataCellStyle="Comma [0]"/>
    <tableColumn id="5" xr3:uid="{07363975-6D94-5541-8BAE-F8DBB3BC5D68}" name="2019-20" dataDxfId="40" dataCellStyle="Comma [0]"/>
    <tableColumn id="6" xr3:uid="{CA49F3B2-4431-DB41-A61D-47896DEE9F17}" name="2020-21" dataDxfId="39" dataCellStyle="Comma [0]"/>
    <tableColumn id="7" xr3:uid="{6FA0C4C0-F1EB-7241-9612-0DE3704A268C}" name="2021-22" dataDxfId="38" dataCellStyle="Comma [0]"/>
    <tableColumn id="8" xr3:uid="{702A132A-969D-A945-A4EC-29E3923FF414}" name="2022-23" dataDxfId="37" dataCellStyle="Comma [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36"/>
    <tableColumn id="2" xr3:uid="{A873A733-E55D-2F43-A5D7-CAD0B99698D8}" name="Indicator" dataDxfId="35"/>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34"/>
    <tableColumn id="2" xr3:uid="{22C230D7-E3AA-A04C-BE2D-A335BC4EE0A7}" name="Indicator" dataDxfId="33"/>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32"/>
    <tableColumn id="2" xr3:uid="{85666443-123B-5148-B5CF-86443F842B85}" name="Indicator" dataDxfId="31"/>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30"/>
    <tableColumn id="2" xr3:uid="{D4D59906-6E7A-684B-87D4-16398A064A7A}" name="Indicator" dataDxfId="29"/>
    <tableColumn id="3" xr3:uid="{CC05D37A-9A12-7B45-A9AE-4B56E283A209}" name="Measure" dataDxfId="28"/>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27"/>
    <tableColumn id="2" xr3:uid="{1E4E9235-83D1-124C-A999-5D07462D07FC}" name="Indicator" dataDxfId="26"/>
    <tableColumn id="3" xr3:uid="{485FD7C1-6624-734C-9180-EBFE3A3F94A6}" name="Measure" dataDxfId="25"/>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24"/>
    <tableColumn id="2" xr3:uid="{F2E42BBF-FEA9-B04E-AB63-8C00062C18FC}" name="Indicator" dataDxfId="23"/>
    <tableColumn id="3" xr3:uid="{4D683FAF-C2B4-2843-9802-D868E38573F7}" name="Measure" dataDxfId="22"/>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21"/>
    <tableColumn id="2" xr3:uid="{9D2EA5E3-9122-CF4B-9456-CFCAC94B446E}" name="Indicator" dataDxfId="20"/>
    <tableColumn id="3" xr3:uid="{AF3A7F01-12EF-694F-B093-1E055FC6D188}" name="Measure" dataDxfId="19"/>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18"/>
    <tableColumn id="2" xr3:uid="{9312D1B3-E67E-8442-8E79-E4382BC41772}" name="Indicator" dataDxfId="17"/>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16"/>
    <tableColumn id="2" xr3:uid="{0F068301-EF7A-9941-BF04-F31F53909A88}" name="Indicator" dataDxfId="15"/>
    <tableColumn id="3" xr3:uid="{386F8714-DC57-7641-8CCA-D5E81C6C129A}" name="Measure" dataDxfId="14"/>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B1" sqref="B1"/>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22" t="s">
        <v>25</v>
      </c>
      <c r="B52" s="22"/>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37AD-22A6-374A-8C6D-A3677794B2EA}">
  <dimension ref="A1:L6"/>
  <sheetViews>
    <sheetView zoomScale="150" workbookViewId="0">
      <selection activeCell="L10" sqref="L10"/>
    </sheetView>
  </sheetViews>
  <sheetFormatPr baseColWidth="10" defaultRowHeight="13" x14ac:dyDescent="0.15"/>
  <cols>
    <col min="1" max="1" width="10" bestFit="1" customWidth="1"/>
    <col min="2" max="2" width="16.33203125" bestFit="1" customWidth="1"/>
    <col min="3" max="3" width="18.33203125" bestFit="1" customWidth="1"/>
    <col min="4" max="4" width="12.33203125" bestFit="1" customWidth="1"/>
    <col min="5" max="5" width="11.1640625" bestFit="1" customWidth="1"/>
    <col min="6" max="6" width="20.1640625" bestFit="1" customWidth="1"/>
    <col min="7" max="7" width="18" bestFit="1" customWidth="1"/>
    <col min="8" max="8" width="14" bestFit="1" customWidth="1"/>
    <col min="9" max="9" width="24.6640625" bestFit="1" customWidth="1"/>
    <col min="10" max="10" width="26.6640625" bestFit="1" customWidth="1"/>
    <col min="11" max="11" width="28.83203125" bestFit="1" customWidth="1"/>
    <col min="12" max="12" width="31" bestFit="1" customWidth="1"/>
  </cols>
  <sheetData>
    <row r="1" spans="1:12" s="19" customFormat="1" ht="14" x14ac:dyDescent="0.15">
      <c r="A1" s="21" t="s">
        <v>30</v>
      </c>
      <c r="B1" s="21" t="s">
        <v>12</v>
      </c>
      <c r="C1" s="21" t="s">
        <v>13</v>
      </c>
      <c r="D1" s="21" t="s">
        <v>14</v>
      </c>
      <c r="E1" s="19" t="s">
        <v>15</v>
      </c>
      <c r="F1" s="19" t="s">
        <v>31</v>
      </c>
      <c r="G1" s="19" t="s">
        <v>32</v>
      </c>
      <c r="H1" s="19" t="s">
        <v>33</v>
      </c>
      <c r="I1" s="19" t="s">
        <v>35</v>
      </c>
      <c r="J1" s="19" t="s">
        <v>36</v>
      </c>
      <c r="K1" s="19" t="s">
        <v>37</v>
      </c>
      <c r="L1" s="19" t="s">
        <v>38</v>
      </c>
    </row>
    <row r="2" spans="1:12" x14ac:dyDescent="0.15">
      <c r="A2" s="16" t="s">
        <v>18</v>
      </c>
      <c r="B2" s="16">
        <v>31530856</v>
      </c>
      <c r="C2" s="16">
        <v>1246657</v>
      </c>
      <c r="D2" s="16">
        <v>32777513</v>
      </c>
      <c r="E2">
        <v>8754207</v>
      </c>
      <c r="F2" s="20">
        <v>3.8033910626471303E-2</v>
      </c>
      <c r="G2" s="20">
        <v>0.75919937821019701</v>
      </c>
      <c r="H2" s="20">
        <v>0.78921636281858798</v>
      </c>
    </row>
    <row r="3" spans="1:12" x14ac:dyDescent="0.15">
      <c r="A3" s="16" t="s">
        <v>19</v>
      </c>
      <c r="B3" s="16">
        <v>31445488</v>
      </c>
      <c r="C3" s="16">
        <v>1329202</v>
      </c>
      <c r="D3" s="16">
        <v>32774690</v>
      </c>
      <c r="E3">
        <v>8825012</v>
      </c>
      <c r="F3" s="20">
        <v>4.0555745912470902E-2</v>
      </c>
      <c r="G3" s="20">
        <v>0.75590656875378603</v>
      </c>
      <c r="H3" s="20">
        <v>0.78785876879598804</v>
      </c>
      <c r="I3">
        <v>-85368</v>
      </c>
      <c r="J3">
        <v>82545</v>
      </c>
      <c r="K3" s="20">
        <f>WorkingAge_YoY[[#This Row],[Employment Rate]]-G2</f>
        <v>-3.2928094564109722E-3</v>
      </c>
      <c r="L3" s="20">
        <f>WorkingAge_YoY[[#This Row],[Unemployment Rate]]-F2</f>
        <v>2.5218352859995991E-3</v>
      </c>
    </row>
    <row r="4" spans="1:12" x14ac:dyDescent="0.15">
      <c r="A4" s="16" t="s">
        <v>20</v>
      </c>
      <c r="B4" s="16">
        <v>31022539</v>
      </c>
      <c r="C4" s="16">
        <v>1554869</v>
      </c>
      <c r="D4" s="16">
        <v>32577408</v>
      </c>
      <c r="E4">
        <v>9136627</v>
      </c>
      <c r="F4" s="20">
        <v>4.7728444202804601E-2</v>
      </c>
      <c r="G4" s="20">
        <v>0.74369547323820395</v>
      </c>
      <c r="H4" s="20">
        <v>0.78096995411736092</v>
      </c>
      <c r="I4">
        <v>-422949</v>
      </c>
      <c r="J4">
        <v>225667</v>
      </c>
      <c r="K4" s="20">
        <f>WorkingAge_YoY[[#This Row],[Employment Rate]]-G3</f>
        <v>-1.2211095515582082E-2</v>
      </c>
      <c r="L4" s="20">
        <f>WorkingAge_YoY[[#This Row],[Unemployment Rate]]-F3</f>
        <v>7.1726982903336997E-3</v>
      </c>
    </row>
    <row r="5" spans="1:12" x14ac:dyDescent="0.15">
      <c r="A5" s="16" t="s">
        <v>21</v>
      </c>
      <c r="B5" s="16">
        <v>31532386</v>
      </c>
      <c r="C5" s="16">
        <v>1234457</v>
      </c>
      <c r="D5" s="16">
        <v>32766843</v>
      </c>
      <c r="E5">
        <v>9216180</v>
      </c>
      <c r="F5" s="20">
        <v>3.7673968163487698E-2</v>
      </c>
      <c r="G5" s="20">
        <v>0.75107469035757601</v>
      </c>
      <c r="H5" s="20">
        <v>0.78047840909407595</v>
      </c>
      <c r="I5">
        <v>509847</v>
      </c>
      <c r="J5">
        <v>-320412</v>
      </c>
      <c r="K5" s="20">
        <f>WorkingAge_YoY[[#This Row],[Employment Rate]]-G4</f>
        <v>7.3792171193720613E-3</v>
      </c>
      <c r="L5" s="20">
        <f>WorkingAge_YoY[[#This Row],[Unemployment Rate]]-F4</f>
        <v>-1.0054476039316904E-2</v>
      </c>
    </row>
    <row r="6" spans="1:12" x14ac:dyDescent="0.15">
      <c r="A6" s="16" t="s">
        <v>22</v>
      </c>
      <c r="B6" s="16">
        <v>31988853</v>
      </c>
      <c r="C6" s="16">
        <v>1277635</v>
      </c>
      <c r="D6" s="16">
        <v>33266488</v>
      </c>
      <c r="E6">
        <v>9136922</v>
      </c>
      <c r="F6" s="20">
        <v>3.84060679925095E-2</v>
      </c>
      <c r="G6" s="20">
        <v>0.75439340845464997</v>
      </c>
      <c r="H6" s="20">
        <v>0.78452388616858915</v>
      </c>
      <c r="I6">
        <v>456467</v>
      </c>
      <c r="J6">
        <v>43178</v>
      </c>
      <c r="K6" s="20">
        <f>WorkingAge_YoY[[#This Row],[Employment Rate]]-G5</f>
        <v>3.3187180970739583E-3</v>
      </c>
      <c r="L6" s="20">
        <f>WorkingAge_YoY[[#This Row],[Unemployment Rate]]-F5</f>
        <v>7.3209982902180254E-4</v>
      </c>
    </row>
  </sheetData>
  <pageMargins left="0.7" right="0.7" top="0.75" bottom="0.75" header="0.3" footer="0.3"/>
  <pageSetup paperSize="9" orientation="portrait" horizontalDpi="0" verticalDpi="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D3AA-F25B-4D4D-8237-7D57DFCB38C9}">
  <dimension ref="A1:E7"/>
  <sheetViews>
    <sheetView tabSelected="1" zoomScale="226" workbookViewId="0">
      <selection activeCell="F11" sqref="F11"/>
    </sheetView>
  </sheetViews>
  <sheetFormatPr baseColWidth="10" defaultRowHeight="13" x14ac:dyDescent="0.15"/>
  <cols>
    <col min="1" max="1" width="10" bestFit="1" customWidth="1"/>
    <col min="2" max="2" width="16.33203125" bestFit="1" customWidth="1"/>
    <col min="3" max="3" width="18.33203125" bestFit="1" customWidth="1"/>
    <col min="4" max="5" width="13.6640625" bestFit="1" customWidth="1"/>
    <col min="6" max="6" width="22.1640625" bestFit="1" customWidth="1"/>
    <col min="7" max="8" width="12.1640625" bestFit="1" customWidth="1"/>
    <col min="9" max="9" width="23" bestFit="1" customWidth="1"/>
    <col min="10" max="10" width="22.1640625" bestFit="1" customWidth="1"/>
    <col min="11" max="11" width="23" bestFit="1" customWidth="1"/>
    <col min="12" max="12" width="22.1640625" bestFit="1" customWidth="1"/>
    <col min="13" max="14" width="12.1640625" bestFit="1" customWidth="1"/>
    <col min="15" max="15" width="23" bestFit="1" customWidth="1"/>
    <col min="16" max="16" width="22.1640625" bestFit="1" customWidth="1"/>
    <col min="17" max="17" width="23" bestFit="1" customWidth="1"/>
    <col min="18" max="18" width="22.1640625" bestFit="1" customWidth="1"/>
    <col min="19" max="20" width="12.1640625" bestFit="1" customWidth="1"/>
    <col min="21" max="21" width="23" bestFit="1" customWidth="1"/>
    <col min="22" max="22" width="22.1640625" bestFit="1" customWidth="1"/>
    <col min="23" max="23" width="23" bestFit="1" customWidth="1"/>
    <col min="24" max="24" width="22.1640625" bestFit="1" customWidth="1"/>
    <col min="25" max="26" width="12.1640625" bestFit="1" customWidth="1"/>
    <col min="27" max="27" width="23" bestFit="1" customWidth="1"/>
    <col min="28" max="28" width="22.1640625" bestFit="1" customWidth="1"/>
    <col min="29" max="29" width="23" bestFit="1" customWidth="1"/>
    <col min="30" max="30" width="22.1640625" bestFit="1" customWidth="1"/>
    <col min="31" max="31" width="17.83203125" bestFit="1" customWidth="1"/>
    <col min="32" max="32" width="17" bestFit="1" customWidth="1"/>
  </cols>
  <sheetData>
    <row r="1" spans="1:5" x14ac:dyDescent="0.15">
      <c r="A1" s="16" t="s">
        <v>30</v>
      </c>
      <c r="B1" s="16" t="s">
        <v>12</v>
      </c>
      <c r="C1" s="16" t="s">
        <v>13</v>
      </c>
      <c r="D1" s="16" t="s">
        <v>15</v>
      </c>
      <c r="E1" s="16" t="s">
        <v>23</v>
      </c>
    </row>
    <row r="2" spans="1:5" hidden="1" x14ac:dyDescent="0.15">
      <c r="A2" s="24" t="s">
        <v>18</v>
      </c>
      <c r="B2" s="18">
        <v>31530856</v>
      </c>
      <c r="C2" s="18">
        <v>1246657</v>
      </c>
      <c r="D2" s="18">
        <v>8754207</v>
      </c>
      <c r="E2" s="18">
        <v>41531720</v>
      </c>
    </row>
    <row r="3" spans="1:5" hidden="1" x14ac:dyDescent="0.15">
      <c r="A3" s="24" t="s">
        <v>19</v>
      </c>
      <c r="B3" s="18">
        <v>31445488</v>
      </c>
      <c r="C3" s="18">
        <v>1329202</v>
      </c>
      <c r="D3" s="18">
        <v>8825012</v>
      </c>
      <c r="E3" s="18">
        <v>41599702</v>
      </c>
    </row>
    <row r="4" spans="1:5" hidden="1" x14ac:dyDescent="0.15">
      <c r="A4" s="24" t="s">
        <v>20</v>
      </c>
      <c r="B4" s="18">
        <v>31022539</v>
      </c>
      <c r="C4" s="18">
        <v>1554869</v>
      </c>
      <c r="D4" s="18">
        <v>9136627</v>
      </c>
      <c r="E4" s="18">
        <v>41714035</v>
      </c>
    </row>
    <row r="5" spans="1:5" hidden="1" x14ac:dyDescent="0.15">
      <c r="A5" s="24" t="s">
        <v>21</v>
      </c>
      <c r="B5" s="18">
        <v>31532386</v>
      </c>
      <c r="C5" s="18">
        <v>1234457</v>
      </c>
      <c r="D5" s="18">
        <v>9216180</v>
      </c>
      <c r="E5" s="18">
        <v>41983023</v>
      </c>
    </row>
    <row r="6" spans="1:5" hidden="1" x14ac:dyDescent="0.15">
      <c r="A6" s="24" t="s">
        <v>22</v>
      </c>
      <c r="B6" s="18">
        <v>31988853</v>
      </c>
      <c r="C6" s="18">
        <v>1277635</v>
      </c>
      <c r="D6" s="18">
        <v>9136922</v>
      </c>
      <c r="E6" s="18">
        <v>42403410</v>
      </c>
    </row>
    <row r="7" spans="1:5" x14ac:dyDescent="0.15">
      <c r="A7" s="24" t="s">
        <v>41</v>
      </c>
      <c r="B7" s="25">
        <f>SUM(B2:B6)/5</f>
        <v>31504024.399999999</v>
      </c>
      <c r="C7" s="25">
        <f t="shared" ref="C7:E7" si="0">SUM(C2:C6)/5</f>
        <v>1328564</v>
      </c>
      <c r="D7" s="25">
        <f t="shared" si="0"/>
        <v>9013789.5999999996</v>
      </c>
      <c r="E7" s="25">
        <f t="shared" si="0"/>
        <v>41846378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D8B6-9001-E44C-9BFD-B7F1D1BC9E80}">
  <dimension ref="A1:K6"/>
  <sheetViews>
    <sheetView zoomScale="102" workbookViewId="0">
      <selection activeCell="G14" sqref="G14"/>
    </sheetView>
  </sheetViews>
  <sheetFormatPr baseColWidth="10" defaultRowHeight="13" x14ac:dyDescent="0.15"/>
  <cols>
    <col min="1" max="1" width="7.6640625" bestFit="1" customWidth="1"/>
    <col min="2" max="2" width="13.83203125" bestFit="1" customWidth="1"/>
    <col min="3" max="3" width="15.83203125" bestFit="1" customWidth="1"/>
    <col min="4" max="4" width="9.83203125" bestFit="1" customWidth="1"/>
    <col min="5" max="5" width="11.1640625" bestFit="1" customWidth="1"/>
    <col min="6" max="6" width="20.1640625" bestFit="1" customWidth="1"/>
    <col min="7" max="7" width="18" bestFit="1" customWidth="1"/>
    <col min="8" max="8" width="14" bestFit="1" customWidth="1"/>
    <col min="9" max="9" width="15.33203125" bestFit="1" customWidth="1"/>
    <col min="10" max="10" width="28.1640625" bestFit="1" customWidth="1"/>
    <col min="11" max="11" width="30.33203125" bestFit="1" customWidth="1"/>
  </cols>
  <sheetData>
    <row r="1" spans="1:11" x14ac:dyDescent="0.15">
      <c r="A1" t="s">
        <v>30</v>
      </c>
      <c r="B1" t="s">
        <v>12</v>
      </c>
      <c r="C1" t="s">
        <v>13</v>
      </c>
      <c r="D1" t="s">
        <v>14</v>
      </c>
      <c r="E1" t="s">
        <v>15</v>
      </c>
      <c r="F1" t="s">
        <v>31</v>
      </c>
      <c r="G1" t="s">
        <v>32</v>
      </c>
      <c r="H1" t="s">
        <v>33</v>
      </c>
      <c r="I1" t="s">
        <v>34</v>
      </c>
      <c r="J1" t="s">
        <v>39</v>
      </c>
      <c r="K1" t="s">
        <v>40</v>
      </c>
    </row>
    <row r="2" spans="1:11" x14ac:dyDescent="0.15">
      <c r="A2" s="23" t="s">
        <v>18</v>
      </c>
      <c r="B2">
        <v>31530856</v>
      </c>
      <c r="C2">
        <v>1246657</v>
      </c>
      <c r="D2">
        <v>32777513</v>
      </c>
      <c r="E2">
        <v>8754207</v>
      </c>
      <c r="F2" s="20">
        <v>3.8033910626471303E-2</v>
      </c>
      <c r="G2" s="20">
        <v>0.75919937821019701</v>
      </c>
      <c r="H2" s="20">
        <v>0.78921636281858798</v>
      </c>
      <c r="I2" s="20">
        <v>0.21078363718141202</v>
      </c>
      <c r="J2" s="20">
        <v>0.96196608937352879</v>
      </c>
      <c r="K2" s="20">
        <v>3.8033910626471261E-2</v>
      </c>
    </row>
    <row r="3" spans="1:11" x14ac:dyDescent="0.15">
      <c r="A3" s="23" t="s">
        <v>19</v>
      </c>
      <c r="B3">
        <v>31445488</v>
      </c>
      <c r="C3">
        <v>1329202</v>
      </c>
      <c r="D3">
        <v>32774690</v>
      </c>
      <c r="E3">
        <v>8825012</v>
      </c>
      <c r="F3" s="20">
        <v>4.0555745912470902E-2</v>
      </c>
      <c r="G3" s="20">
        <v>0.75590656875378603</v>
      </c>
      <c r="H3" s="20">
        <v>0.78785876879598804</v>
      </c>
      <c r="I3" s="20">
        <v>0.21214123120401196</v>
      </c>
      <c r="J3" s="20">
        <v>0.95944425408752909</v>
      </c>
      <c r="K3" s="20">
        <v>4.0555745912470874E-2</v>
      </c>
    </row>
    <row r="4" spans="1:11" x14ac:dyDescent="0.15">
      <c r="A4" s="23" t="s">
        <v>20</v>
      </c>
      <c r="B4">
        <v>31022539</v>
      </c>
      <c r="C4">
        <v>1554869</v>
      </c>
      <c r="D4">
        <v>32577408</v>
      </c>
      <c r="E4">
        <v>9136627</v>
      </c>
      <c r="F4" s="20">
        <v>4.7728444202804601E-2</v>
      </c>
      <c r="G4" s="20">
        <v>0.74369547323820395</v>
      </c>
      <c r="H4" s="20">
        <v>0.78096995411736103</v>
      </c>
      <c r="I4" s="20">
        <v>0.21903004588263897</v>
      </c>
      <c r="J4" s="20">
        <v>0.95227155579719536</v>
      </c>
      <c r="K4" s="20">
        <v>4.7728444202804594E-2</v>
      </c>
    </row>
    <row r="5" spans="1:11" x14ac:dyDescent="0.15">
      <c r="A5" s="23" t="s">
        <v>21</v>
      </c>
      <c r="B5">
        <v>31532386</v>
      </c>
      <c r="C5">
        <v>1234457</v>
      </c>
      <c r="D5">
        <v>32766843</v>
      </c>
      <c r="E5">
        <v>9216180</v>
      </c>
      <c r="F5" s="20">
        <v>3.7673968163487698E-2</v>
      </c>
      <c r="G5" s="20">
        <v>0.75107469035757601</v>
      </c>
      <c r="H5" s="20">
        <v>0.78047840909407595</v>
      </c>
      <c r="I5" s="20">
        <v>0.21952159090592405</v>
      </c>
      <c r="J5" s="20">
        <v>0.96232603183651233</v>
      </c>
      <c r="K5" s="20">
        <v>3.7673968163487705E-2</v>
      </c>
    </row>
    <row r="6" spans="1:11" x14ac:dyDescent="0.15">
      <c r="A6" s="23" t="s">
        <v>22</v>
      </c>
      <c r="B6">
        <v>31988853</v>
      </c>
      <c r="C6">
        <v>1277635</v>
      </c>
      <c r="D6">
        <v>33266488</v>
      </c>
      <c r="E6">
        <v>9136922</v>
      </c>
      <c r="F6" s="20">
        <v>3.84060679925095E-2</v>
      </c>
      <c r="G6" s="20">
        <v>0.75439340845464997</v>
      </c>
      <c r="H6" s="20">
        <v>0.78452388616858904</v>
      </c>
      <c r="I6" s="20">
        <v>0.21547611383141096</v>
      </c>
      <c r="J6" s="20">
        <v>0.96159393200749055</v>
      </c>
      <c r="K6" s="20">
        <v>3.8406067992509459E-2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6" t="s">
        <v>6</v>
      </c>
      <c r="B2" s="16" t="s">
        <v>16</v>
      </c>
      <c r="C2" s="16" t="s">
        <v>18</v>
      </c>
      <c r="D2" s="18">
        <v>344875</v>
      </c>
      <c r="E2" s="18">
        <v>69118</v>
      </c>
      <c r="F2" s="18">
        <v>413993</v>
      </c>
      <c r="G2" s="18">
        <v>1003697</v>
      </c>
      <c r="H2" s="17">
        <v>0.243265452955159</v>
      </c>
      <c r="I2" s="17">
        <v>0.16695451372366199</v>
      </c>
      <c r="J2" s="17">
        <v>0.29201941186013902</v>
      </c>
      <c r="K2" s="17">
        <v>0.70798058813986098</v>
      </c>
    </row>
    <row r="3" spans="1:11" x14ac:dyDescent="0.15">
      <c r="A3" s="16" t="s">
        <v>7</v>
      </c>
      <c r="B3" s="16" t="s">
        <v>16</v>
      </c>
      <c r="C3" s="16" t="s">
        <v>18</v>
      </c>
      <c r="D3" s="18">
        <v>3430284</v>
      </c>
      <c r="E3" s="18">
        <v>355408</v>
      </c>
      <c r="F3" s="18">
        <v>3785692</v>
      </c>
      <c r="G3" s="18">
        <v>1807920</v>
      </c>
      <c r="H3" s="17">
        <v>0.61325025761529395</v>
      </c>
      <c r="I3" s="17">
        <v>9.3881911153892106E-2</v>
      </c>
      <c r="J3" s="17">
        <v>0.67678845082569195</v>
      </c>
      <c r="K3" s="17">
        <v>0.323211549174308</v>
      </c>
    </row>
    <row r="4" spans="1:11" x14ac:dyDescent="0.15">
      <c r="A4" s="16" t="s">
        <v>8</v>
      </c>
      <c r="B4" s="16" t="s">
        <v>16</v>
      </c>
      <c r="C4" s="16" t="s">
        <v>18</v>
      </c>
      <c r="D4" s="18">
        <v>7514942</v>
      </c>
      <c r="E4" s="18">
        <v>247633</v>
      </c>
      <c r="F4" s="18">
        <v>7762575</v>
      </c>
      <c r="G4" s="18">
        <v>1140514</v>
      </c>
      <c r="H4" s="17">
        <v>0.84408254258718496</v>
      </c>
      <c r="I4" s="17">
        <v>3.1900883405313302E-2</v>
      </c>
      <c r="J4" s="17">
        <v>0.871896821429057</v>
      </c>
      <c r="K4" s="17">
        <v>0.128103178570943</v>
      </c>
    </row>
    <row r="5" spans="1:11" x14ac:dyDescent="0.15">
      <c r="A5" s="16" t="s">
        <v>9</v>
      </c>
      <c r="B5" s="16" t="s">
        <v>16</v>
      </c>
      <c r="C5" s="16" t="s">
        <v>18</v>
      </c>
      <c r="D5" s="18">
        <v>10999137</v>
      </c>
      <c r="E5" s="18">
        <v>304832</v>
      </c>
      <c r="F5" s="18">
        <v>11303969</v>
      </c>
      <c r="G5" s="18">
        <v>1588173</v>
      </c>
      <c r="H5" s="17">
        <v>0.85316598281340705</v>
      </c>
      <c r="I5" s="17">
        <v>2.69668113916448E-2</v>
      </c>
      <c r="J5" s="17">
        <v>0.87681077357044301</v>
      </c>
      <c r="K5" s="17">
        <v>0.123189226429557</v>
      </c>
    </row>
    <row r="6" spans="1:11" x14ac:dyDescent="0.15">
      <c r="A6" s="16" t="s">
        <v>10</v>
      </c>
      <c r="B6" s="16" t="s">
        <v>16</v>
      </c>
      <c r="C6" s="16" t="s">
        <v>18</v>
      </c>
      <c r="D6" s="18">
        <v>9241618</v>
      </c>
      <c r="E6" s="18">
        <v>269666</v>
      </c>
      <c r="F6" s="18">
        <v>9511284</v>
      </c>
      <c r="G6" s="18">
        <v>3213903</v>
      </c>
      <c r="H6" s="17">
        <v>0.726246144752136</v>
      </c>
      <c r="I6" s="17">
        <v>2.83522182704249E-2</v>
      </c>
      <c r="J6" s="17">
        <v>0.74743766044459703</v>
      </c>
      <c r="K6" s="17">
        <v>0.25256233955540303</v>
      </c>
    </row>
    <row r="7" spans="1:11" x14ac:dyDescent="0.15">
      <c r="A7" s="16" t="s">
        <v>6</v>
      </c>
      <c r="B7" s="16" t="s">
        <v>16</v>
      </c>
      <c r="C7" s="16" t="s">
        <v>19</v>
      </c>
      <c r="D7" s="18">
        <v>321151</v>
      </c>
      <c r="E7" s="18">
        <v>105004</v>
      </c>
      <c r="F7" s="18">
        <v>426155</v>
      </c>
      <c r="G7" s="18">
        <v>1026176</v>
      </c>
      <c r="H7" s="17">
        <v>0.22112796600774901</v>
      </c>
      <c r="I7" s="17">
        <v>0.24639861083408601</v>
      </c>
      <c r="J7" s="17">
        <v>0.29342828873032401</v>
      </c>
      <c r="K7" s="17">
        <v>0.70657171126967599</v>
      </c>
    </row>
    <row r="8" spans="1:11" x14ac:dyDescent="0.15">
      <c r="A8" s="16" t="s">
        <v>7</v>
      </c>
      <c r="B8" s="16" t="s">
        <v>16</v>
      </c>
      <c r="C8" s="16" t="s">
        <v>19</v>
      </c>
      <c r="D8" s="18">
        <v>3393608</v>
      </c>
      <c r="E8" s="18">
        <v>384335</v>
      </c>
      <c r="F8" s="18">
        <v>3777943</v>
      </c>
      <c r="G8" s="18">
        <v>1727854</v>
      </c>
      <c r="H8" s="17">
        <v>0.61636998240218399</v>
      </c>
      <c r="I8" s="17">
        <v>0.101731286046401</v>
      </c>
      <c r="J8" s="17">
        <v>0.686175498297522</v>
      </c>
      <c r="K8" s="17">
        <v>0.313824501702478</v>
      </c>
    </row>
    <row r="9" spans="1:11" x14ac:dyDescent="0.15">
      <c r="A9" s="16" t="s">
        <v>8</v>
      </c>
      <c r="B9" s="16" t="s">
        <v>16</v>
      </c>
      <c r="C9" s="16" t="s">
        <v>19</v>
      </c>
      <c r="D9" s="18">
        <v>7515616</v>
      </c>
      <c r="E9" s="18">
        <v>260267</v>
      </c>
      <c r="F9" s="18">
        <v>7775883</v>
      </c>
      <c r="G9" s="18">
        <v>1120043</v>
      </c>
      <c r="H9" s="17">
        <v>0.844837962905717</v>
      </c>
      <c r="I9" s="17">
        <v>3.3471054026918898E-2</v>
      </c>
      <c r="J9" s="17">
        <v>0.87409483846875502</v>
      </c>
      <c r="K9" s="17">
        <v>0.12590516153124501</v>
      </c>
    </row>
    <row r="10" spans="1:11" x14ac:dyDescent="0.15">
      <c r="A10" s="16" t="s">
        <v>9</v>
      </c>
      <c r="B10" s="16" t="s">
        <v>16</v>
      </c>
      <c r="C10" s="16" t="s">
        <v>19</v>
      </c>
      <c r="D10" s="18">
        <v>10916453</v>
      </c>
      <c r="E10" s="18">
        <v>305769</v>
      </c>
      <c r="F10" s="18">
        <v>11222222</v>
      </c>
      <c r="G10" s="18">
        <v>1635859</v>
      </c>
      <c r="H10" s="17">
        <v>0.84899550718338102</v>
      </c>
      <c r="I10" s="17">
        <v>2.7246743113796899E-2</v>
      </c>
      <c r="J10" s="17">
        <v>0.872775805347625</v>
      </c>
      <c r="K10" s="17">
        <v>0.127224194652375</v>
      </c>
    </row>
    <row r="11" spans="1:11" x14ac:dyDescent="0.15">
      <c r="A11" s="16" t="s">
        <v>10</v>
      </c>
      <c r="B11" s="16" t="s">
        <v>16</v>
      </c>
      <c r="C11" s="16" t="s">
        <v>19</v>
      </c>
      <c r="D11" s="18">
        <v>9298660</v>
      </c>
      <c r="E11" s="18">
        <v>273827</v>
      </c>
      <c r="F11" s="18">
        <v>9572487</v>
      </c>
      <c r="G11" s="18">
        <v>3315080</v>
      </c>
      <c r="H11" s="17">
        <v>0.72152175814100505</v>
      </c>
      <c r="I11" s="17">
        <v>2.8605627774683801E-2</v>
      </c>
      <c r="J11" s="17">
        <v>0.74276913555522195</v>
      </c>
      <c r="K11" s="17">
        <v>0.257230864444778</v>
      </c>
    </row>
    <row r="12" spans="1:11" x14ac:dyDescent="0.15">
      <c r="A12" s="16" t="s">
        <v>6</v>
      </c>
      <c r="B12" s="16" t="s">
        <v>16</v>
      </c>
      <c r="C12" s="16" t="s">
        <v>20</v>
      </c>
      <c r="D12" s="18">
        <v>200731</v>
      </c>
      <c r="E12" s="18">
        <v>85614</v>
      </c>
      <c r="F12" s="18">
        <v>286345</v>
      </c>
      <c r="G12" s="18">
        <v>1199061</v>
      </c>
      <c r="H12" s="17">
        <v>0.135135444450877</v>
      </c>
      <c r="I12" s="17">
        <v>0.29898898182262701</v>
      </c>
      <c r="J12" s="17">
        <v>0.192772211772404</v>
      </c>
      <c r="K12" s="17">
        <v>0.807227788227596</v>
      </c>
    </row>
    <row r="13" spans="1:11" x14ac:dyDescent="0.15">
      <c r="A13" s="16" t="s">
        <v>7</v>
      </c>
      <c r="B13" s="16" t="s">
        <v>16</v>
      </c>
      <c r="C13" s="16" t="s">
        <v>20</v>
      </c>
      <c r="D13" s="18">
        <v>3242052</v>
      </c>
      <c r="E13" s="18">
        <v>395925</v>
      </c>
      <c r="F13" s="18">
        <v>3637977</v>
      </c>
      <c r="G13" s="18">
        <v>1833127</v>
      </c>
      <c r="H13" s="17">
        <v>0.59257729335797704</v>
      </c>
      <c r="I13" s="17">
        <v>0.10883108936642499</v>
      </c>
      <c r="J13" s="17">
        <v>0.66494385776618403</v>
      </c>
      <c r="K13" s="17">
        <v>0.33505614223381602</v>
      </c>
    </row>
    <row r="14" spans="1:11" x14ac:dyDescent="0.15">
      <c r="A14" s="16" t="s">
        <v>8</v>
      </c>
      <c r="B14" s="16" t="s">
        <v>16</v>
      </c>
      <c r="C14" s="16" t="s">
        <v>20</v>
      </c>
      <c r="D14" s="18">
        <v>7494905</v>
      </c>
      <c r="E14" s="18">
        <v>311719</v>
      </c>
      <c r="F14" s="18">
        <v>7806624</v>
      </c>
      <c r="G14" s="18">
        <v>1071479</v>
      </c>
      <c r="H14" s="17">
        <v>0.84420117676039597</v>
      </c>
      <c r="I14" s="17">
        <v>3.9930064519567002E-2</v>
      </c>
      <c r="J14" s="17">
        <v>0.87931216837651005</v>
      </c>
      <c r="K14" s="17">
        <v>0.12068783162349001</v>
      </c>
    </row>
    <row r="15" spans="1:11" x14ac:dyDescent="0.15">
      <c r="A15" s="16" t="s">
        <v>9</v>
      </c>
      <c r="B15" s="16" t="s">
        <v>16</v>
      </c>
      <c r="C15" s="16" t="s">
        <v>20</v>
      </c>
      <c r="D15" s="18">
        <v>10858987</v>
      </c>
      <c r="E15" s="18">
        <v>388675</v>
      </c>
      <c r="F15" s="18">
        <v>11247662</v>
      </c>
      <c r="G15" s="18">
        <v>1573802</v>
      </c>
      <c r="H15" s="17">
        <v>0.84693814996477801</v>
      </c>
      <c r="I15" s="17">
        <v>3.4556070408232401E-2</v>
      </c>
      <c r="J15" s="17">
        <v>0.87725255087874499</v>
      </c>
      <c r="K15" s="17">
        <v>0.122747449121255</v>
      </c>
    </row>
    <row r="16" spans="1:11" x14ac:dyDescent="0.15">
      <c r="A16" s="16" t="s">
        <v>10</v>
      </c>
      <c r="B16" s="16" t="s">
        <v>16</v>
      </c>
      <c r="C16" s="16" t="s">
        <v>20</v>
      </c>
      <c r="D16" s="18">
        <v>9225864</v>
      </c>
      <c r="E16" s="18">
        <v>372936</v>
      </c>
      <c r="F16" s="18">
        <v>9598800</v>
      </c>
      <c r="G16" s="18">
        <v>3459158</v>
      </c>
      <c r="H16" s="17">
        <v>0.70653190950683098</v>
      </c>
      <c r="I16" s="17">
        <v>3.8852356544568097E-2</v>
      </c>
      <c r="J16" s="17">
        <v>0.73509196460886195</v>
      </c>
      <c r="K16" s="17">
        <v>0.264908035391138</v>
      </c>
    </row>
    <row r="17" spans="1:11" x14ac:dyDescent="0.15">
      <c r="A17" s="16" t="s">
        <v>6</v>
      </c>
      <c r="B17" s="16" t="s">
        <v>16</v>
      </c>
      <c r="C17" s="16" t="s">
        <v>21</v>
      </c>
      <c r="D17" s="18">
        <v>344896</v>
      </c>
      <c r="E17" s="18">
        <v>91738</v>
      </c>
      <c r="F17" s="18">
        <v>436634</v>
      </c>
      <c r="G17" s="18">
        <v>1070809</v>
      </c>
      <c r="H17" s="17">
        <v>0.22879538397140101</v>
      </c>
      <c r="I17" s="17">
        <v>0.21010274051035899</v>
      </c>
      <c r="J17" s="17">
        <v>0.28965207971379398</v>
      </c>
      <c r="K17" s="17">
        <v>0.71034792028620597</v>
      </c>
    </row>
    <row r="18" spans="1:11" x14ac:dyDescent="0.15">
      <c r="A18" s="16" t="s">
        <v>7</v>
      </c>
      <c r="B18" s="16" t="s">
        <v>16</v>
      </c>
      <c r="C18" s="16" t="s">
        <v>21</v>
      </c>
      <c r="D18" s="18">
        <v>3439732</v>
      </c>
      <c r="E18" s="18">
        <v>313230</v>
      </c>
      <c r="F18" s="18">
        <v>3752962</v>
      </c>
      <c r="G18" s="18">
        <v>1759951</v>
      </c>
      <c r="H18" s="17">
        <v>0.62394091834933696</v>
      </c>
      <c r="I18" s="17">
        <v>8.3462076088167206E-2</v>
      </c>
      <c r="J18" s="17">
        <v>0.68075843025275395</v>
      </c>
      <c r="K18" s="17">
        <v>0.31924156974724599</v>
      </c>
    </row>
    <row r="19" spans="1:11" x14ac:dyDescent="0.15">
      <c r="A19" s="16" t="s">
        <v>8</v>
      </c>
      <c r="B19" s="16" t="s">
        <v>16</v>
      </c>
      <c r="C19" s="16" t="s">
        <v>21</v>
      </c>
      <c r="D19" s="18">
        <v>7487048</v>
      </c>
      <c r="E19" s="18">
        <v>261978</v>
      </c>
      <c r="F19" s="18">
        <v>7749026</v>
      </c>
      <c r="G19" s="18">
        <v>1179024</v>
      </c>
      <c r="H19" s="17">
        <v>0.83859835014364803</v>
      </c>
      <c r="I19" s="17">
        <v>3.3807861788049197E-2</v>
      </c>
      <c r="J19" s="17">
        <v>0.86794159978942798</v>
      </c>
      <c r="K19" s="17">
        <v>0.132058400210572</v>
      </c>
    </row>
    <row r="20" spans="1:11" x14ac:dyDescent="0.15">
      <c r="A20" s="16" t="s">
        <v>9</v>
      </c>
      <c r="B20" s="16" t="s">
        <v>16</v>
      </c>
      <c r="C20" s="16" t="s">
        <v>21</v>
      </c>
      <c r="D20" s="18">
        <v>10944865</v>
      </c>
      <c r="E20" s="18">
        <v>286653</v>
      </c>
      <c r="F20" s="18">
        <v>11231518</v>
      </c>
      <c r="G20" s="18">
        <v>1625041</v>
      </c>
      <c r="H20" s="17">
        <v>0.85130593652625097</v>
      </c>
      <c r="I20" s="17">
        <v>2.5522195664023299E-2</v>
      </c>
      <c r="J20" s="17">
        <v>0.87360218235688103</v>
      </c>
      <c r="K20" s="17">
        <v>0.126397817643119</v>
      </c>
    </row>
    <row r="21" spans="1:11" x14ac:dyDescent="0.15">
      <c r="A21" s="16" t="s">
        <v>10</v>
      </c>
      <c r="B21" s="16" t="s">
        <v>16</v>
      </c>
      <c r="C21" s="16" t="s">
        <v>21</v>
      </c>
      <c r="D21" s="18">
        <v>9315845</v>
      </c>
      <c r="E21" s="18">
        <v>280858</v>
      </c>
      <c r="F21" s="18">
        <v>9596703</v>
      </c>
      <c r="G21" s="18">
        <v>3581355</v>
      </c>
      <c r="H21" s="17">
        <v>0.70692092871347201</v>
      </c>
      <c r="I21" s="17">
        <v>2.9266092740392199E-2</v>
      </c>
      <c r="J21" s="17">
        <v>0.72823347719368103</v>
      </c>
      <c r="K21" s="17">
        <v>0.27176652280631902</v>
      </c>
    </row>
    <row r="22" spans="1:11" x14ac:dyDescent="0.15">
      <c r="A22" s="16" t="s">
        <v>6</v>
      </c>
      <c r="B22" s="16" t="s">
        <v>16</v>
      </c>
      <c r="C22" s="16" t="s">
        <v>22</v>
      </c>
      <c r="D22" s="18">
        <v>451497</v>
      </c>
      <c r="E22" s="18">
        <v>67407</v>
      </c>
      <c r="F22" s="18">
        <v>518904</v>
      </c>
      <c r="G22" s="18">
        <v>1015611</v>
      </c>
      <c r="H22" s="17">
        <v>0.294227817909893</v>
      </c>
      <c r="I22" s="17">
        <v>0.12990264095092699</v>
      </c>
      <c r="J22" s="17">
        <v>0.33815505224777898</v>
      </c>
      <c r="K22" s="17">
        <v>0.66184494775222102</v>
      </c>
    </row>
    <row r="23" spans="1:11" x14ac:dyDescent="0.15">
      <c r="A23" s="16" t="s">
        <v>7</v>
      </c>
      <c r="B23" s="16" t="s">
        <v>16</v>
      </c>
      <c r="C23" s="16" t="s">
        <v>22</v>
      </c>
      <c r="D23" s="18">
        <v>3427135</v>
      </c>
      <c r="E23" s="18">
        <v>369744</v>
      </c>
      <c r="F23" s="18">
        <v>3796879</v>
      </c>
      <c r="G23" s="18">
        <v>1811344</v>
      </c>
      <c r="H23" s="17">
        <v>0.61109107109328598</v>
      </c>
      <c r="I23" s="17">
        <v>9.7381033211750997E-2</v>
      </c>
      <c r="J23" s="17">
        <v>0.67701997584618201</v>
      </c>
      <c r="K23" s="17">
        <v>0.32298002415381799</v>
      </c>
    </row>
    <row r="24" spans="1:11" x14ac:dyDescent="0.15">
      <c r="A24" s="16" t="s">
        <v>8</v>
      </c>
      <c r="B24" s="16" t="s">
        <v>16</v>
      </c>
      <c r="C24" s="16" t="s">
        <v>22</v>
      </c>
      <c r="D24" s="18">
        <v>7638966</v>
      </c>
      <c r="E24" s="18">
        <v>283660</v>
      </c>
      <c r="F24" s="18">
        <v>7922626</v>
      </c>
      <c r="G24" s="18">
        <v>1091623</v>
      </c>
      <c r="H24" s="17">
        <v>0.84743232630915799</v>
      </c>
      <c r="I24" s="17">
        <v>3.5803785260089302E-2</v>
      </c>
      <c r="J24" s="17">
        <v>0.87890028331811099</v>
      </c>
      <c r="K24" s="17">
        <v>0.121099716681889</v>
      </c>
    </row>
    <row r="25" spans="1:11" x14ac:dyDescent="0.15">
      <c r="A25" s="16" t="s">
        <v>9</v>
      </c>
      <c r="B25" s="16" t="s">
        <v>16</v>
      </c>
      <c r="C25" s="16" t="s">
        <v>22</v>
      </c>
      <c r="D25" s="18">
        <v>11095712</v>
      </c>
      <c r="E25" s="18">
        <v>277244</v>
      </c>
      <c r="F25" s="18">
        <v>11372956</v>
      </c>
      <c r="G25" s="18">
        <v>1626306</v>
      </c>
      <c r="H25" s="17">
        <v>0.85356476390736602</v>
      </c>
      <c r="I25" s="17">
        <v>2.4377479346618401E-2</v>
      </c>
      <c r="J25" s="17">
        <v>0.87489243620137802</v>
      </c>
      <c r="K25" s="17">
        <v>0.12510756379862201</v>
      </c>
    </row>
    <row r="26" spans="1:11" x14ac:dyDescent="0.15">
      <c r="A26" s="16" t="s">
        <v>10</v>
      </c>
      <c r="B26" s="16" t="s">
        <v>16</v>
      </c>
      <c r="C26" s="16" t="s">
        <v>22</v>
      </c>
      <c r="D26" s="18">
        <v>9375543</v>
      </c>
      <c r="E26" s="18">
        <v>279580</v>
      </c>
      <c r="F26" s="18">
        <v>9655123</v>
      </c>
      <c r="G26" s="18">
        <v>3592038</v>
      </c>
      <c r="H26" s="17">
        <v>0.70773979420949096</v>
      </c>
      <c r="I26" s="17">
        <v>2.89566481959888E-2</v>
      </c>
      <c r="J26" s="17">
        <v>0.72884469359132897</v>
      </c>
      <c r="K26" s="17">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Note</vt:lpstr>
      <vt:lpstr>People</vt:lpstr>
      <vt:lpstr>WorkingAge_YoY</vt:lpstr>
      <vt:lpstr>Labour_Market_Structure</vt:lpstr>
      <vt:lpstr>WorkingAge_Aggregated </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2026-02-12T15:50:14Z</cp:lastPrinted>
  <dcterms:modified xsi:type="dcterms:W3CDTF">2026-02-15T14:55:57Z</dcterms:modified>
</cp:coreProperties>
</file>