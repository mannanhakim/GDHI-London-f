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hidePivotFieldList="1"/>
  <mc:AlternateContent xmlns:mc="http://schemas.openxmlformats.org/markup-compatibility/2006">
    <mc:Choice Requires="x15">
      <x15ac:absPath xmlns:x15ac="http://schemas.microsoft.com/office/spreadsheetml/2010/11/ac" url="/Users/macbookair/Desktop/"/>
    </mc:Choice>
  </mc:AlternateContent>
  <xr:revisionPtr revIDLastSave="0" documentId="13_ncr:1_{A90B743F-C474-7F4B-9276-949E97136321}" xr6:coauthVersionLast="47" xr6:coauthVersionMax="47" xr10:uidLastSave="{00000000-0000-0000-0000-000000000000}"/>
  <bookViews>
    <workbookView xWindow="0" yWindow="0" windowWidth="28800" windowHeight="18000" activeTab="7" xr2:uid="{00000000-000D-0000-FFFF-FFFF00000000}"/>
  </bookViews>
  <sheets>
    <sheet name="Note" sheetId="1" r:id="rId1"/>
    <sheet name="People" sheetId="5" r:id="rId2"/>
    <sheet name="Labour_Market_Stability" sheetId="29" r:id="rId3"/>
    <sheet name="WorkingAge_YoY" sheetId="24" r:id="rId4"/>
    <sheet name="Labour_Market_Structure" sheetId="28" r:id="rId5"/>
    <sheet name="WorkingAge_Aggregated " sheetId="26" r:id="rId6"/>
    <sheet name="WorkingAge_LabourIndicators" sheetId="22" r:id="rId7"/>
    <sheet name="Employment" sheetId="7" r:id="rId8"/>
    <sheet name="Unemployment" sheetId="8" r:id="rId9"/>
    <sheet name="Activity" sheetId="9" r:id="rId10"/>
    <sheet name="Inactivity" sheetId="10" r:id="rId11"/>
    <sheet name="Employment (%)" sheetId="12" r:id="rId12"/>
    <sheet name="Unemployment (%)" sheetId="13" r:id="rId13"/>
    <sheet name="Activity (%)" sheetId="14" r:id="rId14"/>
    <sheet name="Inactivity (%)" sheetId="15" r:id="rId15"/>
    <sheet name="Working_Age_Labour_Status_Level" sheetId="19" r:id="rId16"/>
    <sheet name="Working_Age_Labour_Status_Rate" sheetId="16" r:id="rId17"/>
  </sheets>
  <definedNames>
    <definedName name="ExternalData_1" localSheetId="11" hidden="1">'Employment (%)'!$A$1:$H$7</definedName>
    <definedName name="ExternalData_1" localSheetId="2" hidden="1">Labour_Market_Stability!$A$1:$F$2</definedName>
    <definedName name="ExternalData_1" localSheetId="1" hidden="1">People!$A$1:$H$49</definedName>
    <definedName name="ExternalData_1" localSheetId="16" hidden="1">Working_Age_Labour_Status_Rate!$A$1:$H$13</definedName>
    <definedName name="ExternalData_1" localSheetId="5" hidden="1">'WorkingAge_Aggregated '!$A$1:$K$6</definedName>
    <definedName name="ExternalData_2" localSheetId="7" hidden="1">Employment!$A$1:$G$8</definedName>
    <definedName name="ExternalData_2" localSheetId="4" hidden="1">Labour_Market_Structure!$A$1:$E$7</definedName>
    <definedName name="ExternalData_2" localSheetId="12" hidden="1">'Unemployment (%)'!$A$1:$H$7</definedName>
    <definedName name="ExternalData_3" localSheetId="13" hidden="1">'Activity (%)'!$A$1:$H$7</definedName>
    <definedName name="ExternalData_3" localSheetId="8" hidden="1">Unemployment!$A$1:$G$8</definedName>
    <definedName name="ExternalData_3" localSheetId="15" hidden="1">Working_Age_Labour_Status_Level!$A$1:$G$15</definedName>
    <definedName name="ExternalData_4" localSheetId="9" hidden="1">Activity!$A$1:$G$8</definedName>
    <definedName name="ExternalData_4" localSheetId="14" hidden="1">'Inactivity (%)'!$A$1:$H$7</definedName>
    <definedName name="ExternalData_4" localSheetId="6" hidden="1">WorkingAge_LabourIndicators!$A$1:$K$26</definedName>
    <definedName name="ExternalData_5" localSheetId="10" hidden="1">Inactivity!$A$1:$G$8</definedName>
    <definedName name="ExternalData_6" localSheetId="3" hidden="1">WorkingAge_YoY!$A$1:$L$6</definedName>
    <definedName name="SECT01" localSheetId="0">#REF!</definedName>
    <definedName name="SECT01">#REF!</definedName>
    <definedName name="SECT02" localSheetId="0">#REF!</definedName>
    <definedName name="SECT02">#REF!</definedName>
    <definedName name="SECT03" localSheetId="0">#REF!</definedName>
    <definedName name="SECT03">#REF!</definedName>
    <definedName name="TARG001" localSheetId="0">#REF!</definedName>
    <definedName name="TARG001">#REF!</definedName>
    <definedName name="TARG002" localSheetId="0">#REF!</definedName>
    <definedName name="TARG002">#REF!</definedName>
    <definedName name="TARG003" localSheetId="0">#REF!</definedName>
    <definedName name="TARG003">#REF!</definedName>
    <definedName name="TARG004" localSheetId="0">#REF!</definedName>
    <definedName name="TARG004">#REF!</definedName>
    <definedName name="TARG005" localSheetId="0">#REF!</definedName>
    <definedName name="TARG005">#REF!</definedName>
    <definedName name="TARG006" localSheetId="0">#REF!</definedName>
    <definedName name="TARG006">#REF!</definedName>
    <definedName name="TARG007" localSheetId="0">#REF!</definedName>
    <definedName name="TARG007">#REF!</definedName>
    <definedName name="TARG008" localSheetId="0">#REF!</definedName>
    <definedName name="TARG008">#REF!</definedName>
    <definedName name="TARG009" localSheetId="0">#REF!</definedName>
    <definedName name="TARG009">#REF!</definedName>
    <definedName name="TARG010" localSheetId="0">#REF!</definedName>
    <definedName name="TARG010">#REF!</definedName>
    <definedName name="TARG011" localSheetId="0">#REF!</definedName>
    <definedName name="TARG011">#REF!</definedName>
    <definedName name="TARG012" localSheetId="0">#REF!</definedName>
    <definedName name="TARG012">#REF!</definedName>
    <definedName name="TARG013" localSheetId="0">#REF!</definedName>
    <definedName name="TARG013">#REF!</definedName>
    <definedName name="TARG014" localSheetId="0">#REF!</definedName>
    <definedName name="TARG014">#REF!</definedName>
    <definedName name="TARG015" localSheetId="0">#REF!</definedName>
    <definedName name="TARG015">#REF!</definedName>
    <definedName name="TARG016" localSheetId="0">#REF!</definedName>
    <definedName name="TARG016">#REF!</definedName>
    <definedName name="TARG017" localSheetId="0">#REF!</definedName>
    <definedName name="TARG017">#REF!</definedName>
    <definedName name="TARG018" localSheetId="0">#REF!</definedName>
    <definedName name="TARG018">#REF!</definedName>
    <definedName name="TARG019" localSheetId="0">#REF!</definedName>
    <definedName name="TARG019">#REF!</definedName>
    <definedName name="TARG020" localSheetId="0">#REF!</definedName>
    <definedName name="TARG020">#REF!</definedName>
    <definedName name="TARG021" localSheetId="0">#REF!</definedName>
    <definedName name="TARG021">#REF!</definedName>
    <definedName name="TARG022" localSheetId="0">#REF!</definedName>
    <definedName name="TARG022">#REF!</definedName>
    <definedName name="TARG023" localSheetId="0">#REF!</definedName>
    <definedName name="TARG023">#REF!</definedName>
    <definedName name="TARG024" localSheetId="0">#REF!</definedName>
    <definedName name="TARG024">#REF!</definedName>
    <definedName name="TARG025" localSheetId="0">#REF!</definedName>
    <definedName name="TARG025">#REF!</definedName>
    <definedName name="TARG026" localSheetId="0">#REF!</definedName>
    <definedName name="TARG026">#REF!</definedName>
    <definedName name="TARG027" localSheetId="0">#REF!</definedName>
    <definedName name="TARG027">#REF!</definedName>
    <definedName name="TARG028" localSheetId="0">#REF!</definedName>
    <definedName name="TARG028">#REF!</definedName>
    <definedName name="TARG029" localSheetId="0">#REF!</definedName>
    <definedName name="TARG029">#REF!</definedName>
    <definedName name="TARG030" localSheetId="0">#REF!</definedName>
    <definedName name="TARG030">#REF!</definedName>
    <definedName name="TARG031" localSheetId="0">#REF!</definedName>
    <definedName name="TARG031">#REF!</definedName>
    <definedName name="TARG032" localSheetId="0">#REF!</definedName>
    <definedName name="TARG032">#REF!</definedName>
    <definedName name="TARG033" localSheetId="0">#REF!</definedName>
    <definedName name="TARG033">#REF!</definedName>
    <definedName name="TARG034" localSheetId="0">#REF!</definedName>
    <definedName name="TARG034">#REF!</definedName>
    <definedName name="TARG035" localSheetId="0">#REF!</definedName>
    <definedName name="TARG035">#REF!</definedName>
    <definedName name="TARG036" localSheetId="0">#REF!</definedName>
    <definedName name="TARG036">#REF!</definedName>
    <definedName name="TARG037" localSheetId="0">#REF!</definedName>
    <definedName name="TARG037">#REF!</definedName>
    <definedName name="TARG038" localSheetId="0">#REF!</definedName>
    <definedName name="TARG038">#REF!</definedName>
    <definedName name="TARG039" localSheetId="0">#REF!</definedName>
    <definedName name="TARG039">#REF!</definedName>
    <definedName name="TARG040" localSheetId="0">#REF!</definedName>
    <definedName name="TARG040">#REF!</definedName>
    <definedName name="TARG041" localSheetId="0">#REF!</definedName>
    <definedName name="TARG041">#REF!</definedName>
    <definedName name="TARG042" localSheetId="0">#REF!</definedName>
    <definedName name="TARG042">#REF!</definedName>
    <definedName name="TARG043" localSheetId="0">#REF!</definedName>
    <definedName name="TARG043">#REF!</definedName>
    <definedName name="TARG044" localSheetId="0">#REF!</definedName>
    <definedName name="TARG044">#REF!</definedName>
    <definedName name="TARG045" localSheetId="0">#REF!</definedName>
    <definedName name="TARG045">#REF!</definedName>
    <definedName name="TARG046" localSheetId="0">#REF!</definedName>
    <definedName name="TARG046">#REF!</definedName>
    <definedName name="TARG047" localSheetId="0">#REF!</definedName>
    <definedName name="TARG047">#REF!</definedName>
    <definedName name="TARG048" localSheetId="0">#REF!</definedName>
    <definedName name="TARG048">#REF!</definedName>
    <definedName name="TARG049" localSheetId="0">#REF!</definedName>
    <definedName name="TARG049">#REF!</definedName>
    <definedName name="TARG050" localSheetId="0">#REF!</definedName>
    <definedName name="TARG050">#REF!</definedName>
    <definedName name="TARG051" localSheetId="0">#REF!</definedName>
    <definedName name="TARG051">#REF!</definedName>
    <definedName name="TARG052" localSheetId="0">#REF!</definedName>
    <definedName name="TARG052">#REF!</definedName>
    <definedName name="TARG053" localSheetId="0">#REF!</definedName>
    <definedName name="TARG053">#REF!</definedName>
    <definedName name="TARG054" localSheetId="0">#REF!</definedName>
    <definedName name="TARG054">#REF!</definedName>
    <definedName name="TARG055">#REF!</definedName>
    <definedName name="TARG056">#REF!</definedName>
    <definedName name="TARG057">#REF!</definedName>
    <definedName name="TARG058">#REF!</definedName>
    <definedName name="TARG059">#REF!</definedName>
    <definedName name="TARG060">#REF!</definedName>
    <definedName name="TARG061">#REF!</definedName>
    <definedName name="TARG062">#REF!</definedName>
    <definedName name="TARG063">#REF!</definedName>
    <definedName name="TARG064">#REF!</definedName>
    <definedName name="TARG065">#REF!</definedName>
    <definedName name="TARG066">#REF!</definedName>
    <definedName name="TARG067">#REF!</definedName>
    <definedName name="TARG068">#REF!</definedName>
    <definedName name="TARG069">#REF!</definedName>
    <definedName name="TARG070">#REF!</definedName>
    <definedName name="TARG071">#REF!</definedName>
    <definedName name="TARG072">#REF!</definedName>
    <definedName name="TARG073">#REF!</definedName>
    <definedName name="TARG074">#REF!</definedName>
    <definedName name="TARG075">#REF!</definedName>
    <definedName name="TARG076">#REF!</definedName>
    <definedName name="TARG077">#REF!</definedName>
    <definedName name="TARG078">#REF!</definedName>
    <definedName name="TARG079">#REF!</definedName>
    <definedName name="TARG080">#REF!</definedName>
    <definedName name="TARG081">#REF!</definedName>
    <definedName name="TARG082">#REF!</definedName>
    <definedName name="TARG083">#REF!</definedName>
    <definedName name="TARG084">#REF!</definedName>
    <definedName name="TARG085">#REF!</definedName>
    <definedName name="TARG086">#REF!</definedName>
    <definedName name="TARG087">#REF!</definedName>
    <definedName name="TARG088">#REF!</definedName>
    <definedName name="TARG089">#REF!</definedName>
    <definedName name="TARG090">#REF!</definedName>
    <definedName name="TARG091">#REF!</definedName>
    <definedName name="TARG092">#REF!</definedName>
    <definedName name="TARG093">#REF!</definedName>
    <definedName name="TARG094">#REF!</definedName>
    <definedName name="TARG095">#REF!</definedName>
    <definedName name="TARG096">#REF!</definedName>
    <definedName name="TARG097">#REF!</definedName>
    <definedName name="TARG098">#REF!</definedName>
    <definedName name="TARG099">#REF!</definedName>
    <definedName name="TARG100">#REF!</definedName>
    <definedName name="TARG101">#REF!</definedName>
    <definedName name="TARG102">#REF!</definedName>
    <definedName name="TARG103">#REF!</definedName>
    <definedName name="TARG104">#REF!</definedName>
    <definedName name="TARG105">#REF!</definedName>
    <definedName name="TARG106">#REF!</definedName>
    <definedName name="TARG107">#REF!</definedName>
    <definedName name="TARG108">#REF!</definedName>
    <definedName name="TARG109">#REF!</definedName>
    <definedName name="TARG110">#REF!</definedName>
    <definedName name="TARG111">#REF!</definedName>
    <definedName name="TARG112">#REF!</definedName>
    <definedName name="TARG113">#REF!</definedName>
    <definedName name="TARG114">#REF!</definedName>
    <definedName name="TARG115">#REF!</definedName>
    <definedName name="TARG116">#REF!</definedName>
    <definedName name="TARG117">#REF!</definedName>
    <definedName name="TARG118">#REF!</definedName>
    <definedName name="TARG119">#REF!</definedName>
    <definedName name="TARG120">#REF!</definedName>
    <definedName name="TARG121">#REF!</definedName>
    <definedName name="TARG122">#REF!</definedName>
    <definedName name="TARG123">#REF!</definedName>
    <definedName name="TARG124">#REF!</definedName>
    <definedName name="TARG125">#REF!</definedName>
    <definedName name="TARG126">#REF!</definedName>
    <definedName name="TARG127">#REF!</definedName>
    <definedName name="TARG128">#REF!</definedName>
    <definedName name="TARG129">#REF!</definedName>
    <definedName name="TARG130">#REF!</definedName>
    <definedName name="TARG131">#REF!</definedName>
    <definedName name="TARG132">#REF!</definedName>
    <definedName name="TARG133">#REF!</definedName>
    <definedName name="TARG134">#REF!</definedName>
    <definedName name="TARG135">#REF!</definedName>
    <definedName name="TARG136">#REF!</definedName>
    <definedName name="TARG137">#REF!</definedName>
    <definedName name="TARG138">#REF!</definedName>
    <definedName name="TARG139">#REF!</definedName>
    <definedName name="TARG140">#REF!</definedName>
    <definedName name="TARG141">#REF!</definedName>
    <definedName name="TARG142">#REF!</definedName>
    <definedName name="TARG143">#REF!</definedName>
    <definedName name="TARG144">#REF!</definedName>
    <definedName name="TARG145">#REF!</definedName>
    <definedName name="TARG146">#REF!</definedName>
    <definedName name="TARG147">#REF!</definedName>
    <definedName name="TARG148">#REF!</definedName>
    <definedName name="TARG149">#REF!</definedName>
    <definedName name="TARG150">#REF!</definedName>
    <definedName name="TARG151">#REF!</definedName>
    <definedName name="TARG152">#REF!</definedName>
    <definedName name="TARG153">#REF!</definedName>
    <definedName name="TARG154">#REF!</definedName>
    <definedName name="TARG155">#REF!</definedName>
    <definedName name="TARG156">#REF!</definedName>
    <definedName name="TARG157">#REF!</definedName>
    <definedName name="TARG158">#REF!</definedName>
    <definedName name="TARG159">#REF!</definedName>
    <definedName name="TARG160">#REF!</definedName>
    <definedName name="TARG161">#REF!</definedName>
    <definedName name="TARG162">#REF!</definedName>
    <definedName name="TARG163">#REF!</definedName>
    <definedName name="TARG164">#REF!</definedName>
    <definedName name="TARG165">#REF!</definedName>
    <definedName name="TARG166">#REF!</definedName>
    <definedName name="TARG167">#REF!</definedName>
    <definedName name="TARG168">#REF!</definedName>
    <definedName name="TARG169">#REF!</definedName>
    <definedName name="TARG170">#REF!</definedName>
    <definedName name="TARG171">#REF!</definedName>
    <definedName name="TARG172">#REF!</definedName>
    <definedName name="TARG173">#REF!</definedName>
    <definedName name="TARG174">#REF!</definedName>
    <definedName name="TARG175">#REF!</definedName>
    <definedName name="TARG176">#REF!</definedName>
    <definedName name="TARG177">#REF!</definedName>
    <definedName name="TARG178">#REF!</definedName>
    <definedName name="TARG179">#REF!</definedName>
    <definedName name="TARG180">#REF!</definedName>
    <definedName name="TARG181">#REF!</definedName>
    <definedName name="TARG182">#REF!</definedName>
    <definedName name="TARG183">#REF!</definedName>
    <definedName name="TARG184">#REF!</definedName>
    <definedName name="TARG185">#REF!</definedName>
    <definedName name="TARG186">#REF!</definedName>
    <definedName name="TARG187">#REF!</definedName>
    <definedName name="TARG188">#REF!</definedName>
    <definedName name="TARG189">#REF!</definedName>
    <definedName name="TARG190">#REF!</definedName>
    <definedName name="TARG191">#REF!</definedName>
    <definedName name="TARG192">#REF!</definedName>
    <definedName name="vcop1" localSheetId="0">#REF!</definedName>
    <definedName name="vcop1">#REF!</definedName>
    <definedName name="vcop2" localSheetId="0">#REF!</definedName>
    <definedName name="vcop2">#REF!</definedName>
    <definedName name="vcop3" localSheetId="0">#REF!</definedName>
    <definedName name="vcop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8" l="1"/>
  <c r="D7" i="28"/>
  <c r="E7" i="28"/>
  <c r="B7" i="28"/>
  <c r="L4" i="24"/>
  <c r="L5" i="24"/>
  <c r="L6" i="24"/>
  <c r="L3" i="24"/>
  <c r="K4" i="24"/>
  <c r="K3" i="24"/>
  <c r="K5" i="24"/>
  <c r="K6" i="24"/>
  <c r="D8" i="10"/>
  <c r="E8" i="10"/>
  <c r="F8" i="10"/>
  <c r="G8" i="10"/>
  <c r="C8" i="10"/>
  <c r="D8" i="9"/>
  <c r="E8" i="9"/>
  <c r="F8" i="9"/>
  <c r="G8" i="9"/>
  <c r="C8" i="9"/>
  <c r="D8" i="8"/>
  <c r="E8" i="8"/>
  <c r="F8" i="8"/>
  <c r="G8" i="8"/>
  <c r="C8" i="8"/>
  <c r="D8" i="7"/>
  <c r="E8" i="7"/>
  <c r="F8" i="7"/>
  <c r="G8" i="7"/>
  <c r="C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240809D-A412-3242-9E02-48827F43F4A4}" keepAlive="1" name="Query - Labour_Market_Stability" description="Connection to the 'Labour_Market_Stability' query in the workbook." type="5" refreshedVersion="8" background="1" saveData="1">
    <dbPr connection="Provider=Microsoft.Mashup.OleDb.1;Data Source=$Workbook$;Location=Labour_Market_Stability;Extended Properties=&quot;&quot;" command="SELECT * FROM [Labour_Market_Stability]"/>
  </connection>
</connections>
</file>

<file path=xl/sharedStrings.xml><?xml version="1.0" encoding="utf-8"?>
<sst xmlns="http://schemas.openxmlformats.org/spreadsheetml/2006/main" count="491" uniqueCount="51">
  <si>
    <t>IMPORTANT NOTE:</t>
  </si>
  <si>
    <t xml:space="preserve">From 17 December 2024, we have reweighted Labour Force Survey (LFS) estimates.
The reweighted LFS estimates incorporate information on the size and composition of the UK population, based on 2022 mid-year estimates. For England, Wales and Northern Ireland they are projected forward using scaling factors from 2021-based National Population projections, published in January 2024. For Scotland they are projected forward using scaling factors from 2020-based National Population Projections, published in January 2023.
Given time constraints, we were only able to reweight LFS data from January to March 2019 onwards. Therefore, this reweighting exercise created a discontinuity between December 2018 to February 2019 and January to March 2019 where there is a step change in LFS estimates. However, we have modelled the seasonally adjusted UK levels of employment, unemployment and economic inactivity by sex and age-band back to June to August 2011, to ensure that headline rates and levels by sex and age-band (datasets A02SA and A05SA) can be assessed without a discontinuity.
Important note: Reweighting increased the levels of all labour market statuses but did not address issues surrounding increased LFS volatility, resulting from smaller achieved sample sizes. 
Estimates from January to March 2025 include the full effect of the improvements in LFS data collection and sampling methods introduced from January 2024. However, estimates may be subject to the effect of further ongoing improvements. An increased amount of volatility will remain in the LFS estimates from mid-2023 and throughout 2024, so we would advise additional caution when interpreting change involving those periods. 
We recommend using LFS estimates as part of our suite of labour market indicators, alongside Workforce Jobs, Claimant Count and Pay As You Earn Real Time Information (PAYE RTI) estimates. </t>
  </si>
  <si>
    <t>These are official statistics in development.
For further information, please see our Impact of reweighting on Labour Force Survey key indicators article:</t>
  </si>
  <si>
    <t>https://www.ons.gov.uk/releases/impactofreweightingonlabourforcesurveykeyindicatorsdecember2024</t>
  </si>
  <si>
    <t>Reference:</t>
  </si>
  <si>
    <t>https://www.ons.gov.uk/employmentandlabourmarket/peopleinwork/employmentandemployeetypes/datasets/employmentunemploymentandeconomicinactivitybyagegroupnotseasonallyadjusteda05nsa/current?</t>
  </si>
  <si>
    <t>Aged 16-17</t>
  </si>
  <si>
    <t>Aged 18-24</t>
  </si>
  <si>
    <t>Aged 25-34</t>
  </si>
  <si>
    <t>Aged 35-49</t>
  </si>
  <si>
    <t>Aged 50-64</t>
  </si>
  <si>
    <t>Age 65+</t>
  </si>
  <si>
    <t>Employment</t>
  </si>
  <si>
    <t>Unemployment</t>
  </si>
  <si>
    <t>Activity</t>
  </si>
  <si>
    <t>Inactivity</t>
  </si>
  <si>
    <t>level</t>
  </si>
  <si>
    <t>rate (%)</t>
  </si>
  <si>
    <t>2018-19</t>
  </si>
  <si>
    <t>2019-20</t>
  </si>
  <si>
    <t>2020-21</t>
  </si>
  <si>
    <t>2021-22</t>
  </si>
  <si>
    <t>2022-23</t>
  </si>
  <si>
    <t>Total</t>
  </si>
  <si>
    <t xml:space="preserve">Total </t>
  </si>
  <si>
    <t>level = Number of people</t>
  </si>
  <si>
    <t>Age</t>
  </si>
  <si>
    <t>Age Group</t>
  </si>
  <si>
    <t>Indicator</t>
  </si>
  <si>
    <t>Measure</t>
  </si>
  <si>
    <t>Year</t>
  </si>
  <si>
    <t>Unemployment Rate</t>
  </si>
  <si>
    <t>Employment Rate</t>
  </si>
  <si>
    <t>Activity Rate</t>
  </si>
  <si>
    <t>Inactivity Rate</t>
  </si>
  <si>
    <t>Employment YoY Change</t>
  </si>
  <si>
    <t>Unemployment YoY Change</t>
  </si>
  <si>
    <t>Employment Rate YoY Change</t>
  </si>
  <si>
    <t>Unemployment Rate YoY Change</t>
  </si>
  <si>
    <t>Employment Share of Activity</t>
  </si>
  <si>
    <t>Unemployment Share of Activity</t>
  </si>
  <si>
    <t>Average</t>
  </si>
  <si>
    <t>EmploymentRate_StdDev</t>
  </si>
  <si>
    <t>UnemploymentRate_StdDev</t>
  </si>
  <si>
    <t>2018-23</t>
  </si>
  <si>
    <t>16-17</t>
  </si>
  <si>
    <t>65+</t>
  </si>
  <si>
    <t>18-24</t>
  </si>
  <si>
    <t>25-34</t>
  </si>
  <si>
    <t>35-49</t>
  </si>
  <si>
    <t>50-64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</si>
</sst>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43" formatCode="_(* #,##0.00_);_(* \(#,##0.00\);_(* &quot;-&quot;??_);_(@_)"/>
  </numFmts>
  <fonts count="17" x14ac:knownFonts="1">
    <font>
      <sz val="10"/>
      <color rgb="FF000000"/>
      <name val="Arial"/>
      <scheme val="minor"/>
    </font>
    <font>
      <b/>
      <sz val="26"/>
      <color theme="1"/>
      <name val="Arial"/>
      <family val="2"/>
    </font>
    <font>
      <sz val="10"/>
      <color theme="1"/>
      <name val="Arial"/>
      <family val="2"/>
    </font>
    <font>
      <b/>
      <sz val="10"/>
      <color theme="1"/>
      <name val="Arial"/>
      <family val="2"/>
    </font>
    <font>
      <sz val="11"/>
      <color theme="1"/>
      <name val="Arial"/>
      <family val="2"/>
    </font>
    <font>
      <sz val="12"/>
      <color theme="1"/>
      <name val="Arial"/>
      <family val="2"/>
    </font>
    <font>
      <b/>
      <u/>
      <sz val="10"/>
      <color rgb="FF0000FF"/>
      <name val="Arial"/>
      <family val="2"/>
    </font>
    <font>
      <u/>
      <sz val="10"/>
      <color rgb="FF0000FF"/>
      <name val="Arial"/>
      <family val="2"/>
    </font>
    <font>
      <sz val="8"/>
      <name val="Arial"/>
      <family val="2"/>
      <scheme val="minor"/>
    </font>
    <font>
      <b/>
      <sz val="10"/>
      <color rgb="FF000000"/>
      <name val="Arial"/>
      <family val="2"/>
      <scheme val="minor"/>
    </font>
    <font>
      <sz val="10"/>
      <color rgb="FF000000"/>
      <name val="Arial"/>
      <family val="2"/>
      <scheme val="minor"/>
    </font>
    <font>
      <sz val="10"/>
      <color rgb="FF000000"/>
      <name val="Arial"/>
      <family val="2"/>
      <scheme val="minor"/>
    </font>
    <font>
      <sz val="10"/>
      <color rgb="FF000000"/>
      <name val="Arial"/>
      <family val="2"/>
      <scheme val="minor"/>
    </font>
    <font>
      <sz val="8"/>
      <name val="Arial"/>
      <family val="2"/>
      <scheme val="minor"/>
    </font>
    <font>
      <b/>
      <sz val="10"/>
      <color theme="0"/>
      <name val="Arial"/>
      <scheme val="minor"/>
    </font>
    <font>
      <sz val="10"/>
      <color theme="1"/>
      <name val="Arial"/>
      <family val="2"/>
      <scheme val="minor"/>
    </font>
    <font>
      <b/>
      <sz val="10"/>
      <color theme="1"/>
      <name val="Arial"/>
      <family val="2"/>
      <scheme val="minor"/>
    </font>
  </fonts>
  <fills count="6">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5">
    <border>
      <left/>
      <right/>
      <top/>
      <bottom/>
      <diagonal/>
    </border>
    <border>
      <left/>
      <right/>
      <top/>
      <bottom/>
      <diagonal/>
    </border>
    <border>
      <left style="thin">
        <color theme="0"/>
      </left>
      <right style="thin">
        <color theme="0"/>
      </right>
      <top/>
      <bottom style="thick">
        <color theme="0"/>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s>
  <cellStyleXfs count="3">
    <xf numFmtId="0" fontId="0" fillId="0" borderId="0"/>
    <xf numFmtId="41" fontId="10" fillId="0" borderId="0" applyFont="0" applyFill="0" applyBorder="0" applyAlignment="0" applyProtection="0"/>
    <xf numFmtId="9" fontId="12" fillId="0" borderId="0" applyFont="0" applyFill="0" applyBorder="0" applyAlignment="0" applyProtection="0"/>
  </cellStyleXfs>
  <cellXfs count="28">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wrapText="1"/>
    </xf>
    <xf numFmtId="0" fontId="4" fillId="2" borderId="1" xfId="0" applyFont="1" applyFill="1" applyBorder="1" applyAlignment="1">
      <alignment wrapText="1"/>
    </xf>
    <xf numFmtId="0" fontId="4" fillId="2" borderId="1" xfId="0" applyFont="1" applyFill="1" applyBorder="1"/>
    <xf numFmtId="0" fontId="5" fillId="2" borderId="1" xfId="0" applyFont="1" applyFill="1" applyBorder="1"/>
    <xf numFmtId="0" fontId="6" fillId="2" borderId="1" xfId="0" applyFont="1" applyFill="1" applyBorder="1" applyAlignment="1">
      <alignment vertical="center"/>
    </xf>
    <xf numFmtId="0" fontId="3" fillId="2" borderId="1" xfId="0" applyFont="1" applyFill="1" applyBorder="1"/>
    <xf numFmtId="0" fontId="7" fillId="2" borderId="1" xfId="0" applyFont="1" applyFill="1" applyBorder="1"/>
    <xf numFmtId="0" fontId="9" fillId="0" borderId="0" xfId="0" applyFont="1"/>
    <xf numFmtId="41" fontId="0" fillId="0" borderId="0" xfId="1" applyFont="1"/>
    <xf numFmtId="41" fontId="9" fillId="0" borderId="0" xfId="1" applyFont="1"/>
    <xf numFmtId="41" fontId="11" fillId="0" borderId="0" xfId="1" applyFont="1"/>
    <xf numFmtId="0" fontId="10" fillId="0" borderId="0" xfId="0" applyFont="1"/>
    <xf numFmtId="0" fontId="0" fillId="0" borderId="0" xfId="0" applyAlignment="1">
      <alignment horizontal="center"/>
    </xf>
    <xf numFmtId="9" fontId="0" fillId="0" borderId="0" xfId="2" applyFont="1" applyAlignment="1">
      <alignment horizontal="center"/>
    </xf>
    <xf numFmtId="41" fontId="0" fillId="0" borderId="0" xfId="1" applyFont="1" applyAlignment="1">
      <alignment horizontal="center"/>
    </xf>
    <xf numFmtId="0" fontId="0" fillId="0" borderId="0" xfId="0" applyAlignment="1">
      <alignment wrapText="1"/>
    </xf>
    <xf numFmtId="10" fontId="0" fillId="0" borderId="0" xfId="0" applyNumberFormat="1"/>
    <xf numFmtId="0" fontId="0" fillId="0" borderId="0" xfId="0" applyAlignment="1">
      <alignment horizontal="center" wrapText="1"/>
    </xf>
    <xf numFmtId="43" fontId="0" fillId="0" borderId="0" xfId="1" applyNumberFormat="1" applyFont="1" applyAlignment="1">
      <alignment horizontal="center"/>
    </xf>
    <xf numFmtId="0" fontId="10" fillId="0" borderId="0" xfId="0" applyFont="1" applyAlignment="1">
      <alignment horizontal="center"/>
    </xf>
    <xf numFmtId="0" fontId="14" fillId="3" borderId="2" xfId="0" applyFont="1" applyFill="1" applyBorder="1"/>
    <xf numFmtId="0" fontId="15" fillId="4" borderId="4" xfId="0" applyFont="1" applyFill="1" applyBorder="1"/>
    <xf numFmtId="0" fontId="15" fillId="5" borderId="4" xfId="0" applyFont="1" applyFill="1" applyBorder="1"/>
    <xf numFmtId="0" fontId="16" fillId="4" borderId="3" xfId="0" applyFont="1" applyFill="1" applyBorder="1"/>
    <xf numFmtId="0" fontId="0" fillId="0" borderId="0" xfId="0" applyNumberFormat="1" applyFont="1"/>
  </cellXfs>
  <cellStyles count="3">
    <cellStyle name="Comma [0]" xfId="1" builtinId="6"/>
    <cellStyle name="Normal" xfId="0" builtinId="0"/>
    <cellStyle name="Per cent" xfId="2" builtinId="5"/>
  </cellStyles>
  <dxfs count="6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numFmt numFmtId="0" formatCode="General"/>
    </dxf>
    <dxf>
      <font>
        <strike val="0"/>
        <outline val="0"/>
        <shadow val="0"/>
        <u val="none"/>
        <vertAlign val="baseline"/>
        <sz val="10"/>
        <color rgb="FF000000"/>
        <name val="Arial"/>
        <scheme val="minor"/>
      </font>
    </dxf>
    <dxf>
      <font>
        <strike val="0"/>
        <outline val="0"/>
        <shadow val="0"/>
        <u val="none"/>
        <vertAlign val="baseline"/>
        <sz val="10"/>
        <color rgb="FF000000"/>
        <name val="Arial"/>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4" formatCode="0.00%"/>
    </dxf>
    <dxf>
      <numFmt numFmtId="14" formatCode="0.00%"/>
    </dxf>
    <dxf>
      <numFmt numFmtId="14" formatCode="0.0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general" vertical="bottom" textRotation="0" wrapText="1" indent="0" justifyLastLine="0" shrinkToFit="0" readingOrder="0"/>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ln>
                  <a:noFill/>
                </a:ln>
                <a:solidFill>
                  <a:schemeClr val="tx1"/>
                </a:solidFill>
                <a:latin typeface="Microsoft Himalaya" pitchFamily="2" charset="0"/>
                <a:ea typeface="+mj-ea"/>
                <a:cs typeface="+mj-cs"/>
              </a:defRPr>
            </a:pPr>
            <a:r>
              <a:rPr lang="en-GB" sz="1600" baseline="0">
                <a:ln>
                  <a:noFill/>
                </a:ln>
                <a:solidFill>
                  <a:schemeClr val="tx1"/>
                </a:solidFill>
                <a:latin typeface="Microsoft Himalaya" pitchFamily="2" charset="0"/>
              </a:rPr>
              <a:t>Volatility in UK Labour Market Indicators (2018–2023)</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a:noFill/>
              </a:ln>
              <a:solidFill>
                <a:schemeClr val="tx1"/>
              </a:solidFill>
              <a:latin typeface="Microsoft Himalaya" pitchFamily="2" charset="0"/>
              <a:ea typeface="+mj-ea"/>
              <a:cs typeface="+mj-cs"/>
            </a:defRPr>
          </a:pPr>
          <a:endParaRPr lang="en-US"/>
        </a:p>
      </c:txPr>
    </c:title>
    <c:autoTitleDeleted val="0"/>
    <c:plotArea>
      <c:layout/>
      <c:barChart>
        <c:barDir val="col"/>
        <c:grouping val="clustered"/>
        <c:varyColors val="0"/>
        <c:ser>
          <c:idx val="0"/>
          <c:order val="0"/>
          <c:tx>
            <c:strRef>
              <c:f>Labour_Market_Stability!$B$1</c:f>
              <c:strCache>
                <c:ptCount val="1"/>
                <c:pt idx="0">
                  <c:v>Employment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j-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Labour_Market_Stability!$B$2</c:f>
              <c:numCache>
                <c:formatCode>_(* #,##0_);_(* \(#,##0\);_(* "-"_);_(@_)</c:formatCode>
                <c:ptCount val="1"/>
                <c:pt idx="0">
                  <c:v>343452.24814710446</c:v>
                </c:pt>
              </c:numCache>
            </c:numRef>
          </c:val>
          <c:extLst>
            <c:ext xmlns:c16="http://schemas.microsoft.com/office/drawing/2014/chart" uri="{C3380CC4-5D6E-409C-BE32-E72D297353CC}">
              <c16:uniqueId val="{00000000-42FB-C34B-BB84-65B11430FBC5}"/>
            </c:ext>
          </c:extLst>
        </c:ser>
        <c:ser>
          <c:idx val="1"/>
          <c:order val="1"/>
          <c:tx>
            <c:strRef>
              <c:f>Labour_Market_Stability!$C$1</c:f>
              <c:strCache>
                <c:ptCount val="1"/>
                <c:pt idx="0">
                  <c:v>Unemployment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Labour_Market_Stability!$C$2</c:f>
              <c:numCache>
                <c:formatCode>_(* #,##0_);_(* \(#,##0\);_(* "-"_);_(@_)</c:formatCode>
                <c:ptCount val="1"/>
                <c:pt idx="0">
                  <c:v>131693.78042261527</c:v>
                </c:pt>
              </c:numCache>
            </c:numRef>
          </c:val>
          <c:extLst>
            <c:ext xmlns:c16="http://schemas.microsoft.com/office/drawing/2014/chart" uri="{C3380CC4-5D6E-409C-BE32-E72D297353CC}">
              <c16:uniqueId val="{00000001-42FB-C34B-BB84-65B11430FBC5}"/>
            </c:ext>
          </c:extLst>
        </c:ser>
        <c:ser>
          <c:idx val="2"/>
          <c:order val="2"/>
          <c:tx>
            <c:strRef>
              <c:f>Labour_Market_Stability!$D$1</c:f>
              <c:strCache>
                <c:ptCount val="1"/>
                <c:pt idx="0">
                  <c:v>Inactivity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val>
            <c:numRef>
              <c:f>Labour_Market_Stability!$D$2</c:f>
              <c:numCache>
                <c:formatCode>_(* #,##0_);_(* \(#,##0\);_(* "-"_);_(@_)</c:formatCode>
                <c:ptCount val="1"/>
                <c:pt idx="0">
                  <c:v>208705.89190605047</c:v>
                </c:pt>
              </c:numCache>
            </c:numRef>
          </c:val>
          <c:extLst>
            <c:ext xmlns:c16="http://schemas.microsoft.com/office/drawing/2014/chart" uri="{C3380CC4-5D6E-409C-BE32-E72D297353CC}">
              <c16:uniqueId val="{00000002-42FB-C34B-BB84-65B11430FBC5}"/>
            </c:ext>
          </c:extLst>
        </c:ser>
        <c:dLbls>
          <c:dLblPos val="inEnd"/>
          <c:showLegendKey val="0"/>
          <c:showVal val="1"/>
          <c:showCatName val="0"/>
          <c:showSerName val="0"/>
          <c:showPercent val="0"/>
          <c:showBubbleSize val="0"/>
        </c:dLbls>
        <c:gapWidth val="267"/>
        <c:overlap val="-43"/>
        <c:axId val="1042099727"/>
        <c:axId val="964710591"/>
      </c:barChart>
      <c:dateAx>
        <c:axId val="1042099727"/>
        <c:scaling>
          <c:orientation val="minMax"/>
        </c:scaling>
        <c:delete val="1"/>
        <c:axPos val="b"/>
        <c:majorGridlines>
          <c:spPr>
            <a:ln w="9525" cap="flat" cmpd="sng" algn="ctr">
              <a:solidFill>
                <a:schemeClr val="dk1">
                  <a:lumMod val="15000"/>
                  <a:lumOff val="85000"/>
                </a:schemeClr>
              </a:solidFill>
              <a:round/>
            </a:ln>
            <a:effectLst/>
          </c:spPr>
        </c:majorGridlines>
        <c:majorTickMark val="none"/>
        <c:minorTickMark val="none"/>
        <c:tickLblPos val="nextTo"/>
        <c:crossAx val="964710591"/>
        <c:crossesAt val="0"/>
        <c:auto val="0"/>
        <c:lblOffset val="100"/>
        <c:baseTimeUnit val="days"/>
      </c:dateAx>
      <c:valAx>
        <c:axId val="964710591"/>
        <c:scaling>
          <c:orientation val="minMax"/>
        </c:scaling>
        <c:delete val="0"/>
        <c:axPos val="l"/>
        <c:majorGridlines>
          <c:spPr>
            <a:ln w="9525" cap="flat" cmpd="sng" algn="ctr">
              <a:solidFill>
                <a:schemeClr val="dk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1" u="none" strike="noStrike" kern="1200" baseline="0">
                <a:solidFill>
                  <a:schemeClr val="dk1">
                    <a:lumMod val="65000"/>
                    <a:lumOff val="35000"/>
                  </a:schemeClr>
                </a:solidFill>
                <a:latin typeface="Calibri" panose="020F0502020204030204" pitchFamily="34" charset="0"/>
                <a:ea typeface="+mn-ea"/>
                <a:cs typeface="+mn-cs"/>
              </a:defRPr>
            </a:pPr>
            <a:endParaRPr lang="en-US"/>
          </a:p>
        </c:txPr>
        <c:crossAx val="1042099727"/>
        <c:crosses val="autoZero"/>
        <c:crossBetween val="between"/>
        <c:dispUnits>
          <c:builtInUnit val="thousands"/>
          <c:dispUnitsLbl>
            <c:layout>
              <c:manualLayout>
                <c:xMode val="edge"/>
                <c:yMode val="edge"/>
                <c:x val="2.5000000000000001E-2"/>
                <c:y val="0.3152314814814815"/>
              </c:manualLayout>
            </c:layout>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American Typewriter" panose="02090604020004020304" pitchFamily="18" charset="77"/>
                      <a:ea typeface="+mn-ea"/>
                      <a:cs typeface="+mn-cs"/>
                    </a:defRPr>
                  </a:pPr>
                  <a:r>
                    <a:rPr lang="en-GB" baseline="0">
                      <a:latin typeface="American Typewriter" panose="02090604020004020304" pitchFamily="18" charset="77"/>
                    </a:rPr>
                    <a:t>People (Thousands)</a:t>
                  </a:r>
                </a:p>
              </c:rich>
            </c:tx>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American Typewriter" panose="02090604020004020304" pitchFamily="18" charset="77"/>
                    <a:ea typeface="+mn-ea"/>
                    <a:cs typeface="+mn-cs"/>
                  </a:defRPr>
                </a:pPr>
                <a:endParaRPr lang="en-US"/>
              </a:p>
            </c:txPr>
          </c:dispUnitsLbl>
        </c:dispUnits>
      </c:valAx>
      <c:spPr>
        <a:pattFill prst="ltDnDiag">
          <a:fgClr>
            <a:schemeClr val="dk1">
              <a:lumMod val="15000"/>
              <a:lumOff val="85000"/>
            </a:schemeClr>
          </a:fgClr>
          <a:bgClr>
            <a:schemeClr val="lt1"/>
          </a:bgClr>
        </a:pattFill>
        <a:ln>
          <a:noFill/>
        </a:ln>
        <a:effectLst/>
      </c:spPr>
    </c:plotArea>
    <c:legend>
      <c:legendPos val="b"/>
      <c:layout>
        <c:manualLayout>
          <c:xMode val="edge"/>
          <c:yMode val="edge"/>
          <c:x val="0.20760017497812774"/>
          <c:y val="0.88020778652668419"/>
          <c:w val="0.67646609798775148"/>
          <c:h val="7.8125546806649168E-2"/>
        </c:manualLayout>
      </c:layout>
      <c:overlay val="0"/>
      <c:spPr>
        <a:noFill/>
        <a:ln>
          <a:solidFill>
            <a:schemeClr val="tx1"/>
          </a:solidFill>
        </a:ln>
        <a:effectLst/>
      </c:spPr>
      <c:txPr>
        <a:bodyPr rot="0" spcFirstLastPara="1" vertOverflow="ellipsis" vert="horz" wrap="square" anchor="ctr" anchorCtr="1"/>
        <a:lstStyle/>
        <a:p>
          <a:pPr>
            <a:defRPr sz="900" b="1" i="0" u="none" strike="noStrike" kern="1200" baseline="0">
              <a:solidFill>
                <a:schemeClr val="tx1"/>
              </a:solidFill>
              <a:latin typeface="Calibri" panose="020F050202020403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r>
              <a:rPr lang="en-GB">
                <a:solidFill>
                  <a:schemeClr val="accent1">
                    <a:lumMod val="20000"/>
                    <a:lumOff val="80000"/>
                  </a:schemeClr>
                </a:solidFill>
              </a:rPr>
              <a:t>Labour Market Shock &amp; Recovery Dashboard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20000"/>
                  <a:lumOff val="8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3768153980752407"/>
          <c:y val="0.24907407407407409"/>
          <c:w val="0.72065179352580933"/>
          <c:h val="0.46833369787109946"/>
        </c:manualLayout>
      </c:layout>
      <c:areaChart>
        <c:grouping val="stacked"/>
        <c:varyColors val="0"/>
        <c:ser>
          <c:idx val="0"/>
          <c:order val="0"/>
          <c:tx>
            <c:strRef>
              <c:f>WorkingAge_YoY!$B$1</c:f>
              <c:strCache>
                <c:ptCount val="1"/>
                <c:pt idx="0">
                  <c:v>Employment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WorkingAge_YoY!$B$2:$B$6</c:f>
              <c:numCache>
                <c:formatCode>_(* #,##0_);_(* \(#,##0\);_(* "-"_);_(@_)</c:formatCode>
                <c:ptCount val="5"/>
                <c:pt idx="0">
                  <c:v>31530856</c:v>
                </c:pt>
                <c:pt idx="1">
                  <c:v>31445488</c:v>
                </c:pt>
                <c:pt idx="2">
                  <c:v>31022539</c:v>
                </c:pt>
                <c:pt idx="3">
                  <c:v>31532386</c:v>
                </c:pt>
                <c:pt idx="4">
                  <c:v>31988853</c:v>
                </c:pt>
              </c:numCache>
            </c:numRef>
          </c:val>
          <c:extLst>
            <c:ext xmlns:c16="http://schemas.microsoft.com/office/drawing/2014/chart" uri="{C3380CC4-5D6E-409C-BE32-E72D297353CC}">
              <c16:uniqueId val="{00000000-DF32-9242-A825-6941E1760237}"/>
            </c:ext>
          </c:extLst>
        </c:ser>
        <c:ser>
          <c:idx val="1"/>
          <c:order val="1"/>
          <c:tx>
            <c:strRef>
              <c:f>WorkingAge_YoY!$C$1</c:f>
              <c:strCache>
                <c:ptCount val="1"/>
                <c:pt idx="0">
                  <c:v>Unemployment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WorkingAge_YoY!$A$2:$A$6</c:f>
              <c:strCache>
                <c:ptCount val="5"/>
                <c:pt idx="0">
                  <c:v>2018-19</c:v>
                </c:pt>
                <c:pt idx="1">
                  <c:v>2019-20</c:v>
                </c:pt>
                <c:pt idx="2">
                  <c:v>2020-21</c:v>
                </c:pt>
                <c:pt idx="3">
                  <c:v>2021-22</c:v>
                </c:pt>
                <c:pt idx="4">
                  <c:v>2022-23</c:v>
                </c:pt>
              </c:strCache>
            </c:strRef>
          </c:cat>
          <c:val>
            <c:numRef>
              <c:f>WorkingAge_YoY!$C$2:$C$6</c:f>
              <c:numCache>
                <c:formatCode>_(* #,##0_);_(* \(#,##0\);_(* "-"_);_(@_)</c:formatCode>
                <c:ptCount val="5"/>
                <c:pt idx="0">
                  <c:v>1246657</c:v>
                </c:pt>
                <c:pt idx="1">
                  <c:v>1329202</c:v>
                </c:pt>
                <c:pt idx="2">
                  <c:v>1554869</c:v>
                </c:pt>
                <c:pt idx="3">
                  <c:v>1234457</c:v>
                </c:pt>
                <c:pt idx="4">
                  <c:v>1277635</c:v>
                </c:pt>
              </c:numCache>
            </c:numRef>
          </c:val>
          <c:extLst>
            <c:ext xmlns:c16="http://schemas.microsoft.com/office/drawing/2014/chart" uri="{C3380CC4-5D6E-409C-BE32-E72D297353CC}">
              <c16:uniqueId val="{00000001-DF32-9242-A825-6941E1760237}"/>
            </c:ext>
          </c:extLst>
        </c:ser>
        <c:dLbls>
          <c:showLegendKey val="0"/>
          <c:showVal val="0"/>
          <c:showCatName val="0"/>
          <c:showSerName val="0"/>
          <c:showPercent val="0"/>
          <c:showBubbleSize val="0"/>
        </c:dLbls>
        <c:axId val="1539175615"/>
        <c:axId val="1596537647"/>
      </c:areaChart>
      <c:barChart>
        <c:barDir val="col"/>
        <c:grouping val="clustered"/>
        <c:varyColors val="0"/>
        <c:ser>
          <c:idx val="2"/>
          <c:order val="2"/>
          <c:tx>
            <c:strRef>
              <c:f>WorkingAge_YoY!$D$1</c:f>
              <c:strCache>
                <c:ptCount val="1"/>
                <c:pt idx="0">
                  <c:v>Activity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WorkingAge_YoY!$A$2:$A$6</c:f>
              <c:strCache>
                <c:ptCount val="5"/>
                <c:pt idx="0">
                  <c:v>2018-19</c:v>
                </c:pt>
                <c:pt idx="1">
                  <c:v>2019-20</c:v>
                </c:pt>
                <c:pt idx="2">
                  <c:v>2020-21</c:v>
                </c:pt>
                <c:pt idx="3">
                  <c:v>2021-22</c:v>
                </c:pt>
                <c:pt idx="4">
                  <c:v>2022-23</c:v>
                </c:pt>
              </c:strCache>
            </c:strRef>
          </c:cat>
          <c:val>
            <c:numRef>
              <c:f>WorkingAge_YoY!$D$2:$D$6</c:f>
              <c:numCache>
                <c:formatCode>_(* #,##0_);_(* \(#,##0\);_(* "-"_);_(@_)</c:formatCode>
                <c:ptCount val="5"/>
                <c:pt idx="0">
                  <c:v>32777513</c:v>
                </c:pt>
                <c:pt idx="1">
                  <c:v>32774690</c:v>
                </c:pt>
                <c:pt idx="2">
                  <c:v>32577408</c:v>
                </c:pt>
                <c:pt idx="3">
                  <c:v>32766843</c:v>
                </c:pt>
                <c:pt idx="4">
                  <c:v>33266488</c:v>
                </c:pt>
              </c:numCache>
            </c:numRef>
          </c:val>
          <c:extLst>
            <c:ext xmlns:c16="http://schemas.microsoft.com/office/drawing/2014/chart" uri="{C3380CC4-5D6E-409C-BE32-E72D297353CC}">
              <c16:uniqueId val="{00000002-DF32-9242-A825-6941E1760237}"/>
            </c:ext>
          </c:extLst>
        </c:ser>
        <c:dLbls>
          <c:showLegendKey val="0"/>
          <c:showVal val="0"/>
          <c:showCatName val="0"/>
          <c:showSerName val="0"/>
          <c:showPercent val="0"/>
          <c:showBubbleSize val="0"/>
        </c:dLbls>
        <c:gapWidth val="150"/>
        <c:axId val="1539175615"/>
        <c:axId val="1596537647"/>
      </c:barChart>
      <c:catAx>
        <c:axId val="1539175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96537647"/>
        <c:crosses val="autoZero"/>
        <c:auto val="1"/>
        <c:lblAlgn val="ctr"/>
        <c:lblOffset val="100"/>
        <c:noMultiLvlLbl val="0"/>
      </c:catAx>
      <c:valAx>
        <c:axId val="1596537647"/>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9175615"/>
        <c:crosses val="autoZero"/>
        <c:crossBetween val="between"/>
        <c:dispUnits>
          <c:builtInUnit val="hundredThousands"/>
          <c:dispUnitsLbl>
            <c:layout>
              <c:manualLayout>
                <c:xMode val="edge"/>
                <c:yMode val="edge"/>
                <c:x val="6.9368434811384633E-2"/>
                <c:y val="0.11558587453569896"/>
              </c:manualLayout>
            </c:layout>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GB"/>
                    <a:t>No.</a:t>
                  </a:r>
                  <a:r>
                    <a:rPr lang="en-GB" baseline="0"/>
                    <a:t> of people (In 10000)</a:t>
                  </a:r>
                  <a:endParaRPr lang="en-GB"/>
                </a:p>
              </c:rich>
            </c:tx>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dispUnitsLbl>
        </c:dispUnits>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Average </a:t>
            </a:r>
            <a:r>
              <a:rPr lang="en-GB" sz="1400" b="0" i="0" u="none" strike="noStrike" baseline="0"/>
              <a:t>Labour Market Composition </a:t>
            </a:r>
            <a:r>
              <a:rPr lang="en-GB" baseline="0"/>
              <a: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Labour_Market_Structure!$B$2:$D$2</c:f>
            </c:numRef>
          </c:val>
          <c:extLst>
            <c:ext xmlns:c16="http://schemas.microsoft.com/office/drawing/2014/chart" uri="{C3380CC4-5D6E-409C-BE32-E72D297353CC}">
              <c16:uniqueId val="{00000000-C3C1-3340-9AE0-1FCAE0C39A55}"/>
            </c:ext>
          </c:extLst>
        </c:ser>
        <c:ser>
          <c:idx val="1"/>
          <c:order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Labour_Market_Structure!$B$3:$D$3</c:f>
            </c:numRef>
          </c:val>
          <c:extLst>
            <c:ext xmlns:c16="http://schemas.microsoft.com/office/drawing/2014/chart" uri="{C3380CC4-5D6E-409C-BE32-E72D297353CC}">
              <c16:uniqueId val="{00000001-C3C1-3340-9AE0-1FCAE0C39A55}"/>
            </c:ext>
          </c:extLst>
        </c:ser>
        <c:ser>
          <c:idx val="2"/>
          <c:order val="2"/>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Labour_Market_Structure!$B$4:$D$4</c:f>
            </c:numRef>
          </c:val>
          <c:extLst>
            <c:ext xmlns:c16="http://schemas.microsoft.com/office/drawing/2014/chart" uri="{C3380CC4-5D6E-409C-BE32-E72D297353CC}">
              <c16:uniqueId val="{00000002-C3C1-3340-9AE0-1FCAE0C39A55}"/>
            </c:ext>
          </c:extLst>
        </c:ser>
        <c:ser>
          <c:idx val="3"/>
          <c:order val="3"/>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Labour_Market_Structure!$B$5:$D$5</c:f>
            </c:numRef>
          </c:val>
          <c:extLst>
            <c:ext xmlns:c16="http://schemas.microsoft.com/office/drawing/2014/chart" uri="{C3380CC4-5D6E-409C-BE32-E72D297353CC}">
              <c16:uniqueId val="{00000003-C3C1-3340-9AE0-1FCAE0C39A55}"/>
            </c:ext>
          </c:extLst>
        </c:ser>
        <c:ser>
          <c:idx val="4"/>
          <c:order val="4"/>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Labour_Market_Structure!$B$6:$D$6</c:f>
            </c:numRef>
          </c:val>
          <c:extLst>
            <c:ext xmlns:c16="http://schemas.microsoft.com/office/drawing/2014/chart" uri="{C3380CC4-5D6E-409C-BE32-E72D297353CC}">
              <c16:uniqueId val="{00000004-C3C1-3340-9AE0-1FCAE0C39A55}"/>
            </c:ext>
          </c:extLst>
        </c:ser>
        <c:ser>
          <c:idx val="5"/>
          <c:order val="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47-B543-A28A-459DA17DA8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47-B543-A28A-459DA17DA8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347-B543-A28A-459DA17DA8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Labour_Market_Structure!$B$1:$D$1</c:f>
              <c:strCache>
                <c:ptCount val="3"/>
                <c:pt idx="0">
                  <c:v>Employment</c:v>
                </c:pt>
                <c:pt idx="1">
                  <c:v>Unemployment</c:v>
                </c:pt>
                <c:pt idx="2">
                  <c:v>Inactivity</c:v>
                </c:pt>
              </c:strCache>
            </c:strRef>
          </c:cat>
          <c:val>
            <c:numRef>
              <c:f>Labour_Market_Structure!$B$7:$D$7</c:f>
              <c:numCache>
                <c:formatCode>_(* #,##0.00_);_(* \(#,##0.00\);_(* "-"??_);_(@_)</c:formatCode>
                <c:ptCount val="3"/>
                <c:pt idx="0">
                  <c:v>31504024.399999999</c:v>
                </c:pt>
                <c:pt idx="1">
                  <c:v>1328564</c:v>
                </c:pt>
                <c:pt idx="2">
                  <c:v>9013789.5999999996</c:v>
                </c:pt>
              </c:numCache>
            </c:numRef>
          </c:val>
          <c:extLst>
            <c:ext xmlns:c16="http://schemas.microsoft.com/office/drawing/2014/chart" uri="{C3380CC4-5D6E-409C-BE32-E72D297353CC}">
              <c16:uniqueId val="{00000005-C3C1-3340-9AE0-1FCAE0C39A55}"/>
            </c:ext>
          </c:extLst>
        </c:ser>
        <c:dLbls>
          <c:showLegendKey val="0"/>
          <c:showVal val="1"/>
          <c:showCatName val="1"/>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UK Employment Trends by Age Group (2018-23)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0.13112900851039103"/>
          <c:y val="0.26574871318030507"/>
          <c:w val="0.76893997812874504"/>
          <c:h val="0.48031825301977127"/>
        </c:manualLayout>
      </c:layout>
      <c:barChart>
        <c:barDir val="bar"/>
        <c:grouping val="stacked"/>
        <c:varyColors val="0"/>
        <c:ser>
          <c:idx val="0"/>
          <c:order val="0"/>
          <c:tx>
            <c:strRef>
              <c:f>Employment!$B$2</c:f>
              <c:strCache>
                <c:ptCount val="1"/>
                <c:pt idx="0">
                  <c:v>16-17</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Employment!$C$2:$G$2</c:f>
              <c:numCache>
                <c:formatCode>_(* #,##0_);_(* \(#,##0\);_(* "-"_);_(@_)</c:formatCode>
                <c:ptCount val="5"/>
                <c:pt idx="0">
                  <c:v>344875</c:v>
                </c:pt>
                <c:pt idx="1">
                  <c:v>321151</c:v>
                </c:pt>
                <c:pt idx="2">
                  <c:v>200731</c:v>
                </c:pt>
                <c:pt idx="3">
                  <c:v>344896</c:v>
                </c:pt>
                <c:pt idx="4">
                  <c:v>451497</c:v>
                </c:pt>
              </c:numCache>
            </c:numRef>
          </c:val>
          <c:extLst>
            <c:ext xmlns:c16="http://schemas.microsoft.com/office/drawing/2014/chart" uri="{C3380CC4-5D6E-409C-BE32-E72D297353CC}">
              <c16:uniqueId val="{00000000-05B1-6D44-B522-04CE5C20B21D}"/>
            </c:ext>
          </c:extLst>
        </c:ser>
        <c:ser>
          <c:idx val="1"/>
          <c:order val="1"/>
          <c:tx>
            <c:strRef>
              <c:f>Employment!$B$3</c:f>
              <c:strCache>
                <c:ptCount val="1"/>
                <c:pt idx="0">
                  <c:v>18-24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Employment!$C$3:$G$3</c:f>
              <c:numCache>
                <c:formatCode>_(* #,##0_);_(* \(#,##0\);_(* "-"_);_(@_)</c:formatCode>
                <c:ptCount val="5"/>
                <c:pt idx="0">
                  <c:v>3430284</c:v>
                </c:pt>
                <c:pt idx="1">
                  <c:v>3393608</c:v>
                </c:pt>
                <c:pt idx="2">
                  <c:v>3242052</c:v>
                </c:pt>
                <c:pt idx="3">
                  <c:v>3439732</c:v>
                </c:pt>
                <c:pt idx="4">
                  <c:v>3427135</c:v>
                </c:pt>
              </c:numCache>
            </c:numRef>
          </c:val>
          <c:extLst>
            <c:ext xmlns:c16="http://schemas.microsoft.com/office/drawing/2014/chart" uri="{C3380CC4-5D6E-409C-BE32-E72D297353CC}">
              <c16:uniqueId val="{00000001-05B1-6D44-B522-04CE5C20B21D}"/>
            </c:ext>
          </c:extLst>
        </c:ser>
        <c:ser>
          <c:idx val="2"/>
          <c:order val="2"/>
          <c:tx>
            <c:strRef>
              <c:f>Employment!$B$4</c:f>
              <c:strCache>
                <c:ptCount val="1"/>
                <c:pt idx="0">
                  <c:v>25-34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Employment!$C$4:$G$4</c:f>
              <c:numCache>
                <c:formatCode>_(* #,##0_);_(* \(#,##0\);_(* "-"_);_(@_)</c:formatCode>
                <c:ptCount val="5"/>
                <c:pt idx="0">
                  <c:v>7514942</c:v>
                </c:pt>
                <c:pt idx="1">
                  <c:v>7515616</c:v>
                </c:pt>
                <c:pt idx="2">
                  <c:v>7494905</c:v>
                </c:pt>
                <c:pt idx="3">
                  <c:v>7487048</c:v>
                </c:pt>
                <c:pt idx="4">
                  <c:v>7638966</c:v>
                </c:pt>
              </c:numCache>
            </c:numRef>
          </c:val>
          <c:extLst>
            <c:ext xmlns:c16="http://schemas.microsoft.com/office/drawing/2014/chart" uri="{C3380CC4-5D6E-409C-BE32-E72D297353CC}">
              <c16:uniqueId val="{00000002-05B1-6D44-B522-04CE5C20B21D}"/>
            </c:ext>
          </c:extLst>
        </c:ser>
        <c:ser>
          <c:idx val="3"/>
          <c:order val="3"/>
          <c:tx>
            <c:strRef>
              <c:f>Employment!$B$5</c:f>
              <c:strCache>
                <c:ptCount val="1"/>
                <c:pt idx="0">
                  <c:v>35-49</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Employment!$C$5:$G$5</c:f>
              <c:numCache>
                <c:formatCode>_(* #,##0_);_(* \(#,##0\);_(* "-"_);_(@_)</c:formatCode>
                <c:ptCount val="5"/>
                <c:pt idx="0">
                  <c:v>10999137</c:v>
                </c:pt>
                <c:pt idx="1">
                  <c:v>10916453</c:v>
                </c:pt>
                <c:pt idx="2">
                  <c:v>10858987</c:v>
                </c:pt>
                <c:pt idx="3">
                  <c:v>10944865</c:v>
                </c:pt>
                <c:pt idx="4">
                  <c:v>11095712</c:v>
                </c:pt>
              </c:numCache>
            </c:numRef>
          </c:val>
          <c:extLst>
            <c:ext xmlns:c16="http://schemas.microsoft.com/office/drawing/2014/chart" uri="{C3380CC4-5D6E-409C-BE32-E72D297353CC}">
              <c16:uniqueId val="{00000003-05B1-6D44-B522-04CE5C20B21D}"/>
            </c:ext>
          </c:extLst>
        </c:ser>
        <c:ser>
          <c:idx val="4"/>
          <c:order val="4"/>
          <c:tx>
            <c:strRef>
              <c:f>Employment!$B$6</c:f>
              <c:strCache>
                <c:ptCount val="1"/>
                <c:pt idx="0">
                  <c:v>50-64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Employment!$C$6:$G$6</c:f>
              <c:numCache>
                <c:formatCode>_(* #,##0_);_(* \(#,##0\);_(* "-"_);_(@_)</c:formatCode>
                <c:ptCount val="5"/>
                <c:pt idx="0">
                  <c:v>9241618</c:v>
                </c:pt>
                <c:pt idx="1">
                  <c:v>9298660</c:v>
                </c:pt>
                <c:pt idx="2">
                  <c:v>9225864</c:v>
                </c:pt>
                <c:pt idx="3">
                  <c:v>9315845</c:v>
                </c:pt>
                <c:pt idx="4">
                  <c:v>9375543</c:v>
                </c:pt>
              </c:numCache>
            </c:numRef>
          </c:val>
          <c:extLst>
            <c:ext xmlns:c16="http://schemas.microsoft.com/office/drawing/2014/chart" uri="{C3380CC4-5D6E-409C-BE32-E72D297353CC}">
              <c16:uniqueId val="{00000004-05B1-6D44-B522-04CE5C20B21D}"/>
            </c:ext>
          </c:extLst>
        </c:ser>
        <c:ser>
          <c:idx val="5"/>
          <c:order val="5"/>
          <c:tx>
            <c:strRef>
              <c:f>Employment!$B$7</c:f>
              <c:strCache>
                <c:ptCount val="1"/>
                <c:pt idx="0">
                  <c:v>65+</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Employment!$C$1:$G$1</c:f>
              <c:strCache>
                <c:ptCount val="5"/>
                <c:pt idx="0">
                  <c:v>2018-19</c:v>
                </c:pt>
                <c:pt idx="1">
                  <c:v>2019-20</c:v>
                </c:pt>
                <c:pt idx="2">
                  <c:v>2020-21</c:v>
                </c:pt>
                <c:pt idx="3">
                  <c:v>2021-22</c:v>
                </c:pt>
                <c:pt idx="4">
                  <c:v>2022-23</c:v>
                </c:pt>
              </c:strCache>
            </c:strRef>
          </c:cat>
          <c:val>
            <c:numRef>
              <c:f>Employment!$C$7:$G$7</c:f>
              <c:numCache>
                <c:formatCode>_(* #,##0_);_(* \(#,##0\);_(* "-"_);_(@_)</c:formatCode>
                <c:ptCount val="5"/>
                <c:pt idx="0">
                  <c:v>1291260</c:v>
                </c:pt>
                <c:pt idx="1">
                  <c:v>1362233</c:v>
                </c:pt>
                <c:pt idx="2">
                  <c:v>1285502</c:v>
                </c:pt>
                <c:pt idx="3">
                  <c:v>1345345</c:v>
                </c:pt>
                <c:pt idx="4">
                  <c:v>1496305</c:v>
                </c:pt>
              </c:numCache>
            </c:numRef>
          </c:val>
          <c:extLst>
            <c:ext xmlns:c16="http://schemas.microsoft.com/office/drawing/2014/chart" uri="{C3380CC4-5D6E-409C-BE32-E72D297353CC}">
              <c16:uniqueId val="{00000005-05B1-6D44-B522-04CE5C20B21D}"/>
            </c:ext>
          </c:extLst>
        </c:ser>
        <c:dLbls>
          <c:dLblPos val="ctr"/>
          <c:showLegendKey val="0"/>
          <c:showVal val="1"/>
          <c:showCatName val="0"/>
          <c:showSerName val="0"/>
          <c:showPercent val="0"/>
          <c:showBubbleSize val="0"/>
        </c:dLbls>
        <c:gapWidth val="150"/>
        <c:overlap val="100"/>
        <c:axId val="1064264047"/>
        <c:axId val="1064265759"/>
      </c:barChart>
      <c:catAx>
        <c:axId val="106426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64265759"/>
        <c:crosses val="autoZero"/>
        <c:auto val="1"/>
        <c:lblAlgn val="ctr"/>
        <c:lblOffset val="100"/>
        <c:noMultiLvlLbl val="0"/>
      </c:catAx>
      <c:valAx>
        <c:axId val="106426575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64264047"/>
        <c:crosses val="autoZero"/>
        <c:crossBetween val="between"/>
        <c:dispUnits>
          <c:builtInUnit val="hundredThousands"/>
          <c:dispUnitsLbl>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x 100000 Employed</a:t>
                  </a:r>
                </a:p>
              </c:rich>
            </c:tx>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dispUnitsLbl>
        </c:dispUnits>
      </c:valAx>
      <c:spPr>
        <a:blipFill>
          <a:blip xmlns:r="http://schemas.openxmlformats.org/officeDocument/2006/relationships" r:embed="rId3"/>
          <a:tile tx="0" ty="0" sx="100000" sy="100000" flip="none" algn="tl"/>
        </a:blipFill>
        <a:ln>
          <a:noFill/>
        </a:ln>
        <a:effectLst/>
      </c:spPr>
    </c:plotArea>
    <c:legend>
      <c:legendPos val="b"/>
      <c:layout>
        <c:manualLayout>
          <c:xMode val="edge"/>
          <c:yMode val="edge"/>
          <c:x val="8.4499021123717655E-2"/>
          <c:y val="0.89730530451171586"/>
          <c:w val="0.79771011543356518"/>
          <c:h val="7.4622648321350529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legend>
    <c:plotVisOnly val="1"/>
    <c:dispBlanksAs val="gap"/>
    <c:showDLblsOverMax val="0"/>
  </c:chart>
  <c:spPr>
    <a:blipFill>
      <a:blip xmlns:r="http://schemas.openxmlformats.org/officeDocument/2006/relationships" r:embed="rId4"/>
      <a:tile tx="0" ty="0" sx="100000" sy="100000" flip="none" algn="tl"/>
    </a:blipFill>
    <a:ln w="9525" cap="flat" cmpd="sng" algn="ctr">
      <a:solidFill>
        <a:schemeClr val="tx1">
          <a:lumMod val="15000"/>
          <a:lumOff val="85000"/>
        </a:schemeClr>
      </a:solidFill>
      <a:round/>
    </a:ln>
    <a:effectLst/>
  </c:spPr>
  <c:txPr>
    <a:bodyPr/>
    <a:lstStyle/>
    <a:p>
      <a:pPr>
        <a:defRPr b="1" i="0" baseline="0">
          <a:solidFill>
            <a:schemeClr val="tx2"/>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186267</xdr:colOff>
      <xdr:row>4</xdr:row>
      <xdr:rowOff>131234</xdr:rowOff>
    </xdr:from>
    <xdr:to>
      <xdr:col>4</xdr:col>
      <xdr:colOff>1642534</xdr:colOff>
      <xdr:row>20</xdr:row>
      <xdr:rowOff>165100</xdr:rowOff>
    </xdr:to>
    <xdr:graphicFrame macro="">
      <xdr:nvGraphicFramePr>
        <xdr:cNvPr id="4" name="Chart 3">
          <a:extLst>
            <a:ext uri="{FF2B5EF4-FFF2-40B4-BE49-F238E27FC236}">
              <a16:creationId xmlns:a16="http://schemas.microsoft.com/office/drawing/2014/main" id="{5B0BB56B-C0C9-CEC9-7324-CAF38267C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650875</xdr:colOff>
      <xdr:row>7</xdr:row>
      <xdr:rowOff>111271</xdr:rowOff>
    </xdr:from>
    <xdr:to>
      <xdr:col>5</xdr:col>
      <xdr:colOff>27420</xdr:colOff>
      <xdr:row>24</xdr:row>
      <xdr:rowOff>33050</xdr:rowOff>
    </xdr:to>
    <xdr:graphicFrame macro="">
      <xdr:nvGraphicFramePr>
        <xdr:cNvPr id="8" name="Chart 7">
          <a:extLst>
            <a:ext uri="{FF2B5EF4-FFF2-40B4-BE49-F238E27FC236}">
              <a16:creationId xmlns:a16="http://schemas.microsoft.com/office/drawing/2014/main" id="{D9389275-B399-8682-7DDA-0FB8A3E87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634283</xdr:colOff>
      <xdr:row>8</xdr:row>
      <xdr:rowOff>95716</xdr:rowOff>
    </xdr:from>
    <xdr:to>
      <xdr:col>4</xdr:col>
      <xdr:colOff>764871</xdr:colOff>
      <xdr:row>25</xdr:row>
      <xdr:rowOff>33436</xdr:rowOff>
    </xdr:to>
    <xdr:graphicFrame macro="">
      <xdr:nvGraphicFramePr>
        <xdr:cNvPr id="18" name="Chart 17">
          <a:extLst>
            <a:ext uri="{FF2B5EF4-FFF2-40B4-BE49-F238E27FC236}">
              <a16:creationId xmlns:a16="http://schemas.microsoft.com/office/drawing/2014/main" id="{2CB88C67-A2DC-8456-5B6E-EB6EFA19C6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38456</xdr:colOff>
      <xdr:row>9</xdr:row>
      <xdr:rowOff>15976</xdr:rowOff>
    </xdr:from>
    <xdr:to>
      <xdr:col>6</xdr:col>
      <xdr:colOff>391905</xdr:colOff>
      <xdr:row>25</xdr:row>
      <xdr:rowOff>114111</xdr:rowOff>
    </xdr:to>
    <xdr:graphicFrame macro="">
      <xdr:nvGraphicFramePr>
        <xdr:cNvPr id="5" name="Chart 4">
          <a:extLst>
            <a:ext uri="{FF2B5EF4-FFF2-40B4-BE49-F238E27FC236}">
              <a16:creationId xmlns:a16="http://schemas.microsoft.com/office/drawing/2014/main" id="{8922C477-DC57-56FE-CB1B-CE6F858DC4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113F33-BFA3-9A4D-8C2E-B7A66FFA871B}" autoFormatId="16" applyNumberFormats="0" applyBorderFormats="0" applyFontFormats="0" applyPatternFormats="0" applyAlignmentFormats="0" applyWidthHeightFormats="0">
  <queryTableRefresh nextId="7">
    <queryTableFields count="6">
      <queryTableField id="1" name="Year" tableColumnId="1"/>
      <queryTableField id="2" name="Employment_StdDev" tableColumnId="2"/>
      <queryTableField id="3" name="Unemployment_StdDev" tableColumnId="3"/>
      <queryTableField id="4" name="Inactivity_StdDev" tableColumnId="4"/>
      <queryTableField id="5" name="EmploymentRate_StdDev" tableColumnId="5"/>
      <queryTableField id="6" name="UnemploymentRate_StdDev" tableColumnId="6"/>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364484-C714-974D-B2DF-6ACAC8B20492}" name="People" displayName="People" ref="A1:H49">
  <autoFilter ref="A1:H49" xr:uid="{4A364484-C714-974D-B2DF-6ACAC8B20492}"/>
  <tableColumns count="8">
    <tableColumn id="1" xr3:uid="{7B6A8158-0B8F-DC42-8649-844260A0410A}" name="Age Group" totalsRowLabel="Total" dataDxfId="68"/>
    <tableColumn id="2" xr3:uid="{6816491D-B77B-B94E-9AC9-132E74567FE1}" name="Indicator" dataDxfId="67"/>
    <tableColumn id="3" xr3:uid="{8577DC78-4174-024D-A9C1-4EA6A0969318}" name="Measure" dataDxfId="66"/>
    <tableColumn id="4" xr3:uid="{B73F3EAC-0B0C-EF41-A87D-05A66C08F577}" name="2018-19"/>
    <tableColumn id="5" xr3:uid="{2ED3F0FC-09DB-244C-8F12-83E4963DF31A}" name="2019-20"/>
    <tableColumn id="6" xr3:uid="{C42089C1-BEB9-6348-A365-2E0237D8048E}" name="2020-21"/>
    <tableColumn id="7" xr3:uid="{8DFFAD80-4ED6-B448-980D-1165EDF4E880}" name="2021-22"/>
    <tableColumn id="8" xr3:uid="{CAE2285D-0CCB-C246-8278-5BB53EADEC0F}" name="2022-23" totalsRowFunction="count"/>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DEB7A0-F730-DE45-9400-C70978E94634}" name="Labour_Market_Stability" displayName="Labour_Market_Stability" ref="A1:F2" tableType="queryTable" totalsRowShown="0">
  <autoFilter ref="A1:F2" xr:uid="{20DEB7A0-F730-DE45-9400-C70978E94634}"/>
  <tableColumns count="6">
    <tableColumn id="1" xr3:uid="{6C6BC82B-46BF-734A-A11C-774F1E4FE889}" uniqueName="1" name="Year" queryTableFieldId="1"/>
    <tableColumn id="2" xr3:uid="{AD2BBA57-5936-774F-B612-85BFB7578ED5}" uniqueName="2" name="Employment" queryTableFieldId="2" dataCellStyle="Comma [0]"/>
    <tableColumn id="3" xr3:uid="{205C8F37-64DA-0E4F-A447-9D7D14265640}" uniqueName="3" name="Unemployment" queryTableFieldId="3" dataCellStyle="Comma [0]"/>
    <tableColumn id="4" xr3:uid="{8B0D7CB4-8F0E-B448-8F35-9457F13FD076}" uniqueName="4" name="Inactivity" queryTableFieldId="4" dataCellStyle="Comma [0]"/>
    <tableColumn id="5" xr3:uid="{ECE000BD-4421-F947-B562-3C687AD5BA09}" uniqueName="5" name="EmploymentRate_StdDev" queryTableFieldId="5"/>
    <tableColumn id="6" xr3:uid="{D545A0D4-5BA7-FA4B-A77B-CABF3EFC23DB}" uniqueName="6" name="UnemploymentRate_StdDev" queryTableFieldId="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A603185-33D4-FC4C-82ED-E3F99E0C8AA6}" name="WorkingAge_YoY" displayName="WorkingAge_YoY" ref="A1:L6" totalsRowShown="0" headerRowDxfId="65">
  <autoFilter ref="A1:L6" xr:uid="{9A603185-33D4-FC4C-82ED-E3F99E0C8AA6}"/>
  <sortState xmlns:xlrd2="http://schemas.microsoft.com/office/spreadsheetml/2017/richdata2" ref="A2:L6">
    <sortCondition ref="A1:A6"/>
  </sortState>
  <tableColumns count="12">
    <tableColumn id="1" xr3:uid="{609BAE3E-8A04-7C4C-BB81-CA29FC54EE5C}" name="Year" dataDxfId="64"/>
    <tableColumn id="2" xr3:uid="{69565D7A-EA98-DD49-94E6-2CBD6458F8FF}" name="Employment" dataDxfId="63" dataCellStyle="Comma [0]"/>
    <tableColumn id="3" xr3:uid="{7F72AD6A-06F5-E044-B306-6B5F02FEF34F}" name="Unemployment" dataDxfId="62" dataCellStyle="Comma [0]"/>
    <tableColumn id="4" xr3:uid="{05A489AB-15C6-4C42-91B4-421DE348CAE0}" name="Activity" dataDxfId="61" dataCellStyle="Comma [0]"/>
    <tableColumn id="5" xr3:uid="{FDC95514-014B-3F41-90C6-C625A5921FFA}" name="Inactivity" dataCellStyle="Comma [0]"/>
    <tableColumn id="6" xr3:uid="{7870F7D2-35B2-D94E-B541-488D98AD1336}" name="Unemployment Rate" dataDxfId="60"/>
    <tableColumn id="7" xr3:uid="{5A25066D-4F74-534D-B52E-0F276317B323}" name="Employment Rate" dataDxfId="59"/>
    <tableColumn id="8" xr3:uid="{1EE208CE-2FE3-364A-8A85-D9F3AFF25AC1}" name="Activity Rate" dataDxfId="58"/>
    <tableColumn id="9" xr3:uid="{A04044C2-374F-FD48-BF4A-0361E83C9E0A}" name="Employment YoY Change"/>
    <tableColumn id="10" xr3:uid="{A471C8F9-3A8C-FC4D-8AA2-3851F51F4BC2}" name="Unemployment YoY Change"/>
    <tableColumn id="11" xr3:uid="{C032C0A5-EC53-0941-8744-47F0C937442F}" name="Employment Rate YoY Change"/>
    <tableColumn id="12" xr3:uid="{2977C978-98E6-C14F-A0BF-1366E1FAF163}" name="Unemployment Rate YoY Chang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5F92CE-AF3A-9D47-8598-ED39727409CE}" name="Labour_Market_Structure" displayName="Labour_Market_Structure" ref="A1:E7" totalsRowShown="0" headerRowDxfId="57" dataDxfId="56">
  <autoFilter ref="A1:E7" xr:uid="{555F92CE-AF3A-9D47-8598-ED39727409CE}">
    <filterColumn colId="0">
      <filters>
        <filter val="Average"/>
      </filters>
    </filterColumn>
  </autoFilter>
  <tableColumns count="5">
    <tableColumn id="1" xr3:uid="{FCDC1C5E-14B8-2842-A815-C66289A842F8}" name="Year" dataDxfId="55"/>
    <tableColumn id="2" xr3:uid="{F2E77071-6141-0242-83FB-90A6EEF7002C}" name="Employment" dataDxfId="54" dataCellStyle="Comma [0]"/>
    <tableColumn id="3" xr3:uid="{5C9ED25F-0F1C-2345-A8D8-9A3BE3628F8F}" name="Unemployment" dataDxfId="53" dataCellStyle="Comma [0]"/>
    <tableColumn id="4" xr3:uid="{1F750AAE-7690-3846-85A4-4BDA8E82A70F}" name="Inactivity" dataDxfId="52" dataCellStyle="Comma [0]"/>
    <tableColumn id="5" xr3:uid="{5A7C6825-56E0-5B46-8453-FE081735CB9A}" name="Total" dataDxfId="51" dataCellStyle="Comma [0]"/>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5DA622E-9553-264E-A7B5-80475EBCE5CF}" name="WorkingAge_Aggregated_1" displayName="WorkingAge_Aggregated_1" ref="A1:K6" totalsRowShown="0">
  <autoFilter ref="A1:K6" xr:uid="{B5DA622E-9553-264E-A7B5-80475EBCE5CF}"/>
  <tableColumns count="11">
    <tableColumn id="1" xr3:uid="{24E6EBD3-920C-D541-A383-99DF6BB074DA}" name="Year" dataDxfId="50"/>
    <tableColumn id="2" xr3:uid="{7B1E3CB0-3FB1-9542-91CB-59A86BF48F0A}" name="Employment"/>
    <tableColumn id="3" xr3:uid="{351AB842-35B5-7E41-8A84-92676AE64C4D}" name="Unemployment"/>
    <tableColumn id="4" xr3:uid="{94E10974-F1AA-0448-B51B-26904EE55429}" name="Activity"/>
    <tableColumn id="5" xr3:uid="{FB8731E1-7990-3447-957C-E2EF1DB86E4B}" name="Inactivity"/>
    <tableColumn id="6" xr3:uid="{D96580C8-530A-0043-A6EF-1092987981A1}" name="Unemployment Rate" dataDxfId="49"/>
    <tableColumn id="7" xr3:uid="{D5228925-B167-B248-80FB-A44DBEA48BF3}" name="Employment Rate" dataDxfId="48"/>
    <tableColumn id="8" xr3:uid="{C059DAB5-1DFB-1748-B98F-B38211DDD0A2}" name="Activity Rate" dataDxfId="47"/>
    <tableColumn id="9" xr3:uid="{878F1F4D-C5BA-254F-8720-0A022B9274E8}" name="Inactivity Rate" dataDxfId="46"/>
    <tableColumn id="10" xr3:uid="{2335FED2-26F2-AF43-B9FF-23F24532DB47}" name="Employment Share of Activity" dataDxfId="45"/>
    <tableColumn id="11" xr3:uid="{7008CAFB-793F-2546-8699-B573CCFC357B}" name="Unemployment Share of Activity" dataDxfId="4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B0D645C-F772-524C-AFF3-B304C0369902}" name="Economic_Activity_Level" displayName="Economic_Activity_Level" ref="A1:K26" totalsRowShown="0" dataDxfId="43">
  <autoFilter ref="A1:K26" xr:uid="{EB0D645C-F772-524C-AFF3-B304C0369902}"/>
  <sortState xmlns:xlrd2="http://schemas.microsoft.com/office/spreadsheetml/2017/richdata2" ref="A2:K26">
    <sortCondition ref="C1:C26"/>
  </sortState>
  <tableColumns count="11">
    <tableColumn id="1" xr3:uid="{2921ADBD-832B-6C4C-BE4E-6D57F7445B92}" name="Age Group" dataDxfId="42"/>
    <tableColumn id="3" xr3:uid="{BCA75532-FAD6-5D40-B86A-AAE2E5BF7D6F}" name="Measure" dataDxfId="41"/>
    <tableColumn id="4" xr3:uid="{07D0EE49-153E-384F-8603-0A0434E770D0}" name="Year" dataDxfId="40"/>
    <tableColumn id="6" xr3:uid="{0F3EA0AE-A56E-0547-9869-1593BF33CB77}" name="Employment" dataDxfId="39" dataCellStyle="Comma [0]"/>
    <tableColumn id="7" xr3:uid="{040A2CF6-1D1E-DB42-8791-42267074D04B}" name="Unemployment" dataDxfId="38" dataCellStyle="Comma [0]"/>
    <tableColumn id="8" xr3:uid="{40E0B226-CB54-CD4C-9B83-141696575B55}" name="Activity" dataDxfId="37" dataCellStyle="Comma [0]"/>
    <tableColumn id="9" xr3:uid="{FE724EB9-522A-0A42-B688-497F56ED47EF}" name="Inactivity" dataDxfId="36" dataCellStyle="Comma [0]"/>
    <tableColumn id="11" xr3:uid="{2B8022AB-A9BA-D046-8496-9B13DD4B4995}" name="Employment Rate" dataDxfId="35" dataCellStyle="Per cent"/>
    <tableColumn id="10" xr3:uid="{31298919-C36C-CC49-90B6-572D4AA34FB7}" name="Unemployment Rate" dataDxfId="34" dataCellStyle="Per cent"/>
    <tableColumn id="12" xr3:uid="{1E0BA8B1-DD26-8B48-B6CB-BC3F872D6BF7}" name="Activity Rate" dataDxfId="33" dataCellStyle="Per cent"/>
    <tableColumn id="13" xr3:uid="{F5BBF090-FDA4-D04E-8BCE-9E3C4EBEFD28}" name="Inactivity Rate" dataDxfId="32" dataCellStyle="Per cent"/>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B05618-2B30-CD49-BA3B-3DF5551DE4B1}" name="Employment" displayName="Employment" ref="A1:G8" totalsRowShown="0" headerRowDxfId="31" dataDxfId="30">
  <autoFilter ref="A1:G8" xr:uid="{1FB05618-2B30-CD49-BA3B-3DF5551DE4B1}"/>
  <tableColumns count="7">
    <tableColumn id="1" xr3:uid="{A919398F-5188-354D-8331-0A65969F8C72}" name="Indicator" dataDxfId="29"/>
    <tableColumn id="2" xr3:uid="{391BAC24-9EFD-5E46-AC79-BF9F57F6A51B}" name="Age" dataDxfId="28"/>
    <tableColumn id="4" xr3:uid="{584B2634-3124-3641-9C36-7CEF12B08468}" name="2018-19" dataDxfId="27" dataCellStyle="Comma [0]"/>
    <tableColumn id="5" xr3:uid="{07363975-6D94-5541-8BAE-F8DBB3BC5D68}" name="2019-20" dataDxfId="26" dataCellStyle="Comma [0]"/>
    <tableColumn id="6" xr3:uid="{CA49F3B2-4431-DB41-A61D-47896DEE9F17}" name="2020-21" dataDxfId="25" dataCellStyle="Comma [0]"/>
    <tableColumn id="7" xr3:uid="{6FA0C4C0-F1EB-7241-9612-0DE3704A268C}" name="2021-22" dataDxfId="24" dataCellStyle="Comma [0]"/>
    <tableColumn id="8" xr3:uid="{702A132A-969D-A945-A4EC-29E3923FF414}" name="2022-23" dataDxfId="23" dataCellStyle="Comma [0]"/>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2D5988-F3C7-5049-9271-64466BEF7DEF}" name="Unemployment" displayName="Unemployment" ref="A1:G8" totalsRowShown="0">
  <autoFilter ref="A1:G8" xr:uid="{992D5988-F3C7-5049-9271-64466BEF7DEF}"/>
  <tableColumns count="7">
    <tableColumn id="1" xr3:uid="{81B0045A-884F-1148-8E46-D0C8771971B5}" name="Age" dataDxfId="22"/>
    <tableColumn id="2" xr3:uid="{A873A733-E55D-2F43-A5D7-CAD0B99698D8}" name="Indicator" dataDxfId="21"/>
    <tableColumn id="4" xr3:uid="{3C572193-05E7-7444-ADE7-C0BF1D2D2D08}" name="2018-19" dataCellStyle="Comma [0]"/>
    <tableColumn id="5" xr3:uid="{4D675FD0-FF37-7F41-8191-1952A104C1A8}" name="2019-20" dataCellStyle="Comma [0]"/>
    <tableColumn id="6" xr3:uid="{8B1F3D7F-80DA-3A49-830C-CF2735B3F93B}" name="2020-21" dataCellStyle="Comma [0]"/>
    <tableColumn id="7" xr3:uid="{76BA080D-5CF3-294C-8AB2-FB845B7A2558}" name="2021-22" dataCellStyle="Comma [0]"/>
    <tableColumn id="8" xr3:uid="{650F98A4-C1DE-104A-87B1-9983081BB509}" name="2022-23" dataCellStyle="Comma [0]"/>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F5D2AF-1D3C-E047-B7D3-0DB505991DF6}" name="Activity" displayName="Activity" ref="A1:G8" totalsRowShown="0">
  <autoFilter ref="A1:G8" xr:uid="{45F5D2AF-1D3C-E047-B7D3-0DB505991DF6}"/>
  <tableColumns count="7">
    <tableColumn id="1" xr3:uid="{C39EE294-860D-3646-9279-8B4412D53FFC}" name="Age" dataDxfId="20"/>
    <tableColumn id="2" xr3:uid="{22C230D7-E3AA-A04C-BE2D-A335BC4EE0A7}" name="Indicator" dataDxfId="19"/>
    <tableColumn id="4" xr3:uid="{553AD31C-AE58-254E-BB4A-4CF45F471166}" name="2018-19" dataCellStyle="Comma [0]"/>
    <tableColumn id="5" xr3:uid="{20D6B041-7D05-A84C-8184-7DDAA6A961C0}" name="2019-20" dataCellStyle="Comma [0]"/>
    <tableColumn id="6" xr3:uid="{DDD85BFE-26C2-9C4A-8170-72E0DDBF1F35}" name="2020-21" dataCellStyle="Comma [0]"/>
    <tableColumn id="7" xr3:uid="{66AF2F7F-FAA1-6B4D-84B5-CA954088571D}" name="2021-22" dataCellStyle="Comma [0]"/>
    <tableColumn id="8" xr3:uid="{5339501A-8372-BE40-A947-687554D75BA9}" name="2022-23" dataCellStyle="Comma [0]"/>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212FE3-B7CC-E645-998A-AAEB82203BE3}" name="Inactivity" displayName="Inactivity" ref="A1:G8" totalsRowShown="0">
  <autoFilter ref="A1:G8" xr:uid="{2E212FE3-B7CC-E645-998A-AAEB82203BE3}"/>
  <tableColumns count="7">
    <tableColumn id="1" xr3:uid="{ADEE08CE-C2EA-9243-BBC7-57E9E966FBDC}" name="Age" dataDxfId="18"/>
    <tableColumn id="2" xr3:uid="{85666443-123B-5148-B5CF-86443F842B85}" name="Indicator" dataDxfId="17"/>
    <tableColumn id="4" xr3:uid="{42694E3B-C62B-314A-B5D5-7B8D4A6761D5}" name="2018-19" dataCellStyle="Comma [0]"/>
    <tableColumn id="5" xr3:uid="{0DEE2BEA-C2C3-8B4D-B036-0E0ABCC7E98B}" name="2019-20" dataCellStyle="Comma [0]"/>
    <tableColumn id="6" xr3:uid="{61EEE78E-8E3B-E34B-9F7C-2698FBDA5ECE}" name="2020-21" dataCellStyle="Comma [0]"/>
    <tableColumn id="7" xr3:uid="{E4D4E189-7084-A946-9EA6-7C5A2BAF8624}" name="2021-22" dataCellStyle="Comma [0]"/>
    <tableColumn id="8" xr3:uid="{DB4F0DD4-E414-0F49-BAC4-7B51A981028E}" name="2022-23" dataCellStyle="Comma [0]"/>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96FEFE6-25C1-7A45-925B-2B2CC3DEC07B}" name="Employment_1" displayName="Employment_1" ref="A1:H7" totalsRowShown="0">
  <autoFilter ref="A1:H7" xr:uid="{096FEFE6-25C1-7A45-925B-2B2CC3DEC07B}"/>
  <tableColumns count="8">
    <tableColumn id="1" xr3:uid="{CB30F5B1-646A-884D-96F0-F427205140D1}" name="Age Group" dataDxfId="16"/>
    <tableColumn id="2" xr3:uid="{D4D59906-6E7A-684B-87D4-16398A064A7A}" name="Indicator" dataDxfId="15"/>
    <tableColumn id="3" xr3:uid="{CC05D37A-9A12-7B45-A9AE-4B56E283A209}" name="Measure" dataDxfId="14"/>
    <tableColumn id="4" xr3:uid="{C95CCCFD-DF3E-ED4E-A43C-49556961C541}" name="2018-19"/>
    <tableColumn id="5" xr3:uid="{1AB95FD4-62BF-024A-8BB5-E0AEF55E8BDA}" name="2019-20"/>
    <tableColumn id="6" xr3:uid="{370A5D53-3607-0045-9E21-37955914B2D6}" name="2020-21"/>
    <tableColumn id="7" xr3:uid="{35A010B1-FB18-7D46-9BF3-261E4E0D5FE7}" name="2021-22"/>
    <tableColumn id="8" xr3:uid="{CC00D046-4D8E-594E-BE40-FB6A9C7DF46E}" name="2022-23"/>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E8B938F-FBEF-B248-8F35-C3131533F7A3}" name="Unemployment_1" displayName="Unemployment_1" ref="A1:H7" totalsRowShown="0">
  <autoFilter ref="A1:H7" xr:uid="{6E8B938F-FBEF-B248-8F35-C3131533F7A3}"/>
  <tableColumns count="8">
    <tableColumn id="1" xr3:uid="{14485DB8-CBD2-3D41-9077-E7D8D2DB130F}" name="Age Group" dataDxfId="13"/>
    <tableColumn id="2" xr3:uid="{1E4E9235-83D1-124C-A999-5D07462D07FC}" name="Indicator" dataDxfId="12"/>
    <tableColumn id="3" xr3:uid="{485FD7C1-6624-734C-9180-EBFE3A3F94A6}" name="Measure" dataDxfId="11"/>
    <tableColumn id="4" xr3:uid="{3234FD37-0F76-FF4A-926F-8DCB189125F0}" name="2018-19"/>
    <tableColumn id="5" xr3:uid="{D1A13F75-6BFF-EE4A-B676-EC93BC909A50}" name="2019-20"/>
    <tableColumn id="6" xr3:uid="{AC2B2C61-15C6-1A40-A88C-3FC60D1A5F2E}" name="2020-21"/>
    <tableColumn id="7" xr3:uid="{72F4E0D8-93B2-CD42-8A23-9E230222775C}" name="2021-22"/>
    <tableColumn id="8" xr3:uid="{CE79AFDB-1D88-9C45-8979-ED19ACC9AD8C}" name="2022-23"/>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022C3C-2662-4845-9580-762E6537C976}" name="Activity_1" displayName="Activity_1" ref="A1:H7" totalsRowShown="0">
  <autoFilter ref="A1:H7" xr:uid="{2B022C3C-2662-4845-9580-762E6537C976}"/>
  <tableColumns count="8">
    <tableColumn id="1" xr3:uid="{8265BA7A-568C-F249-9E5F-C847742DD66D}" name="Age Group" dataDxfId="10"/>
    <tableColumn id="2" xr3:uid="{F2E42BBF-FEA9-B04E-AB63-8C00062C18FC}" name="Indicator" dataDxfId="9"/>
    <tableColumn id="3" xr3:uid="{4D683FAF-C2B4-2843-9802-D868E38573F7}" name="Measure" dataDxfId="8"/>
    <tableColumn id="4" xr3:uid="{792171D1-2F39-E940-A047-8BA91B85F41C}" name="2018-19"/>
    <tableColumn id="5" xr3:uid="{281B435F-E68C-EF4B-A11B-0F777EF92484}" name="2019-20"/>
    <tableColumn id="6" xr3:uid="{3BCD2DF7-1C22-B242-B9DB-2546C020A918}" name="2020-21"/>
    <tableColumn id="7" xr3:uid="{82B5DE0C-F293-2247-80E3-4C55545B1E45}" name="2021-22"/>
    <tableColumn id="8" xr3:uid="{6040071E-2D56-5C4A-9A7E-6348EAEDFC27}" name="2022-23"/>
  </tableColumns>
  <tableStyleInfo name="TableStyleMedium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F3D0CA-245E-544E-BE99-616C8A3BD1E0}" name="Inactivity_1" displayName="Inactivity_1" ref="A1:H7" totalsRowShown="0">
  <autoFilter ref="A1:H7" xr:uid="{A2F3D0CA-245E-544E-BE99-616C8A3BD1E0}"/>
  <tableColumns count="8">
    <tableColumn id="1" xr3:uid="{AB837F76-1496-7640-BE8F-68AE279D8EFE}" name="Age Group" dataDxfId="7"/>
    <tableColumn id="2" xr3:uid="{9D2EA5E3-9122-CF4B-9456-CFCAC94B446E}" name="Indicator" dataDxfId="6"/>
    <tableColumn id="3" xr3:uid="{AF3A7F01-12EF-694F-B093-1E055FC6D188}" name="Measure" dataDxfId="5"/>
    <tableColumn id="4" xr3:uid="{4B59F462-4CC8-CD40-A892-5B2DD028DE49}" name="2018-19"/>
    <tableColumn id="5" xr3:uid="{1B8799E0-3BBF-D64B-B2F4-635CF914E822}" name="2019-20"/>
    <tableColumn id="6" xr3:uid="{C0E32CED-C52F-234A-B13A-2C3A41474301}" name="2020-21"/>
    <tableColumn id="7" xr3:uid="{34055565-DD5E-C745-8196-172170C7E097}" name="2021-22"/>
    <tableColumn id="8" xr3:uid="{AF55F290-1416-E849-8BF8-316500A82D9C}" name="2022-23"/>
  </tableColumns>
  <tableStyleInfo name="TableStyleMedium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EB4F437-C1BD-5342-A722-C253022C1339}" name="Working_Age_Labour_Status_Level" displayName="Working_Age_Labour_Status_Level" ref="A1:G15" totalsRowShown="0">
  <autoFilter ref="A1:G15" xr:uid="{AEB4F437-C1BD-5342-A722-C253022C1339}"/>
  <tableColumns count="7">
    <tableColumn id="1" xr3:uid="{CF7A938A-5A1C-2942-93CD-B6887B813FFC}" name="Age" dataDxfId="4"/>
    <tableColumn id="2" xr3:uid="{9312D1B3-E67E-8442-8E79-E4382BC41772}" name="Indicator" dataDxfId="3"/>
    <tableColumn id="3" xr3:uid="{BFA01612-BF91-3E4C-8C4F-90F7E7335D57}" name="2018-19"/>
    <tableColumn id="4" xr3:uid="{26A4F2EB-A0A7-3945-B614-7114023CEC55}" name="2019-20"/>
    <tableColumn id="5" xr3:uid="{76B30098-7990-3047-8902-6B7FAE9F72BC}" name="2020-21"/>
    <tableColumn id="6" xr3:uid="{DD6D1C91-1AC6-8F45-ADC0-0ABD1AF27E65}" name="2021-22"/>
    <tableColumn id="7" xr3:uid="{44FC676E-029B-F64F-9D28-793A1605C515}" name="2022-23"/>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8B973D0-D6A5-7941-BE31-8213D2CA2288}" name="Working_Age_Labour_Status_Rate" displayName="Working_Age_Labour_Status_Rate" ref="A1:H13" totalsRowShown="0">
  <autoFilter ref="A1:H13" xr:uid="{88B973D0-D6A5-7941-BE31-8213D2CA2288}"/>
  <tableColumns count="8">
    <tableColumn id="1" xr3:uid="{30392158-29D3-2C4D-A7BB-01B8C35688F6}" name="Age Group" dataDxfId="2"/>
    <tableColumn id="2" xr3:uid="{0F068301-EF7A-9941-BF04-F31F53909A88}" name="Indicator" dataDxfId="1"/>
    <tableColumn id="3" xr3:uid="{386F8714-DC57-7641-8CCA-D5E81C6C129A}" name="Measure" dataDxfId="0"/>
    <tableColumn id="4" xr3:uid="{70CB2498-86E1-5A41-A0B6-F97D5FACB436}" name="2018-19"/>
    <tableColumn id="5" xr3:uid="{74DE0F95-5E06-1841-86CC-EDDE2EB23D24}" name="2019-20"/>
    <tableColumn id="6" xr3:uid="{872DE74B-FE4C-A64A-8BF6-7271C083C80E}" name="2020-21"/>
    <tableColumn id="7" xr3:uid="{33B127F1-9E60-F541-B9FC-83A83990C07A}" name="2021-22"/>
    <tableColumn id="8" xr3:uid="{1B72D38F-FEB0-384C-87BB-03A766B9E13D}" name="2022-23"/>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ons.gov.uk/employmentandlabourmarket/peopleinwork/employmentandemployeetypes/datasets/employmentunemploymentandeconomicinactivitybyagegroupnotseasonallyadjusteda05nsa/current?" TargetMode="External"/><Relationship Id="rId1" Type="http://schemas.openxmlformats.org/officeDocument/2006/relationships/hyperlink" Target="https://www.ons.gov.uk/releases/impactofreweightingonlabourforcesurveykeyindicatorsdecember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3" zoomScale="173" zoomScaleNormal="100" workbookViewId="0"/>
  </sheetViews>
  <sheetFormatPr baseColWidth="10" defaultColWidth="12.6640625" defaultRowHeight="15" customHeight="1" x14ac:dyDescent="0.15"/>
  <cols>
    <col min="1" max="1" width="101.1640625" customWidth="1"/>
    <col min="2" max="13" width="8.6640625" customWidth="1"/>
    <col min="14" max="26" width="10" customWidth="1"/>
  </cols>
  <sheetData>
    <row r="1" spans="1:26" ht="35.25" customHeight="1" x14ac:dyDescent="0.35">
      <c r="A1" s="1" t="s">
        <v>0</v>
      </c>
      <c r="B1" s="2"/>
      <c r="C1" s="2"/>
      <c r="D1" s="2"/>
      <c r="E1" s="2"/>
      <c r="F1" s="2"/>
      <c r="G1" s="2"/>
      <c r="H1" s="2"/>
      <c r="I1" s="2"/>
      <c r="J1" s="2"/>
      <c r="K1" s="2"/>
      <c r="L1" s="2"/>
      <c r="M1" s="2"/>
      <c r="N1" s="2"/>
      <c r="O1" s="2"/>
      <c r="P1" s="2"/>
      <c r="Q1" s="2"/>
      <c r="R1" s="2"/>
      <c r="S1" s="2"/>
      <c r="T1" s="2"/>
      <c r="U1" s="2"/>
      <c r="V1" s="2"/>
      <c r="W1" s="2"/>
      <c r="X1" s="2"/>
      <c r="Y1" s="2"/>
      <c r="Z1" s="2"/>
    </row>
    <row r="2" spans="1:26" ht="8.25" customHeight="1" x14ac:dyDescent="0.15">
      <c r="A2" s="2"/>
      <c r="B2" s="2"/>
      <c r="C2" s="2"/>
      <c r="D2" s="2"/>
      <c r="E2" s="2"/>
      <c r="F2" s="2"/>
      <c r="G2" s="2"/>
      <c r="H2" s="2"/>
      <c r="I2" s="2"/>
      <c r="J2" s="2"/>
      <c r="K2" s="2"/>
      <c r="L2" s="2"/>
      <c r="M2" s="2"/>
      <c r="N2" s="2"/>
      <c r="O2" s="2"/>
      <c r="P2" s="2"/>
      <c r="Q2" s="2"/>
      <c r="R2" s="2"/>
      <c r="S2" s="2"/>
      <c r="T2" s="2"/>
      <c r="U2" s="2"/>
      <c r="V2" s="2"/>
      <c r="W2" s="2"/>
      <c r="X2" s="2"/>
      <c r="Y2" s="2"/>
      <c r="Z2" s="2"/>
    </row>
    <row r="3" spans="1:26" ht="327" customHeight="1" x14ac:dyDescent="0.15">
      <c r="A3" s="3" t="s">
        <v>1</v>
      </c>
      <c r="B3" s="4"/>
      <c r="C3" s="4"/>
      <c r="D3" s="4"/>
      <c r="E3" s="4"/>
      <c r="F3" s="4"/>
      <c r="G3" s="4"/>
      <c r="H3" s="4"/>
      <c r="I3" s="4"/>
      <c r="J3" s="4"/>
      <c r="K3" s="5"/>
      <c r="L3" s="5"/>
      <c r="M3" s="5"/>
      <c r="N3" s="5"/>
      <c r="O3" s="5"/>
      <c r="P3" s="5"/>
      <c r="Q3" s="5"/>
      <c r="R3" s="5"/>
      <c r="S3" s="5"/>
      <c r="T3" s="5"/>
      <c r="U3" s="5"/>
      <c r="V3" s="5"/>
      <c r="W3" s="5"/>
      <c r="X3" s="5"/>
      <c r="Y3" s="5"/>
      <c r="Z3" s="5"/>
    </row>
    <row r="4" spans="1:26" ht="40.5" customHeight="1" x14ac:dyDescent="0.2">
      <c r="A4" s="3" t="s">
        <v>2</v>
      </c>
      <c r="B4" s="6"/>
      <c r="C4" s="6"/>
      <c r="D4" s="6"/>
      <c r="E4" s="6"/>
      <c r="F4" s="6"/>
      <c r="G4" s="6"/>
      <c r="H4" s="6"/>
      <c r="I4" s="6"/>
      <c r="J4" s="6"/>
      <c r="K4" s="6"/>
      <c r="L4" s="6"/>
      <c r="M4" s="6"/>
      <c r="N4" s="2"/>
      <c r="O4" s="2"/>
      <c r="P4" s="2"/>
      <c r="Q4" s="2"/>
      <c r="R4" s="2"/>
      <c r="S4" s="2"/>
      <c r="T4" s="2"/>
      <c r="U4" s="2"/>
      <c r="V4" s="2"/>
      <c r="W4" s="2"/>
      <c r="X4" s="2"/>
      <c r="Y4" s="2"/>
      <c r="Z4" s="2"/>
    </row>
    <row r="5" spans="1:26" ht="12.75" customHeight="1" x14ac:dyDescent="0.15">
      <c r="A5" s="7" t="s">
        <v>3</v>
      </c>
      <c r="B5" s="2"/>
      <c r="C5" s="2"/>
      <c r="D5" s="2"/>
      <c r="E5" s="2"/>
      <c r="F5" s="2"/>
      <c r="G5" s="2"/>
      <c r="H5" s="2"/>
      <c r="I5" s="2"/>
      <c r="J5" s="2"/>
      <c r="K5" s="2"/>
      <c r="L5" s="2"/>
      <c r="M5" s="2"/>
      <c r="N5" s="2"/>
      <c r="O5" s="2"/>
      <c r="P5" s="2"/>
      <c r="Q5" s="2"/>
      <c r="R5" s="2"/>
      <c r="S5" s="2"/>
      <c r="T5" s="2"/>
      <c r="U5" s="2"/>
      <c r="V5" s="2"/>
      <c r="W5" s="2"/>
      <c r="X5" s="2"/>
      <c r="Y5" s="2"/>
      <c r="Z5" s="2"/>
    </row>
    <row r="6" spans="1:26" ht="12.75" customHeight="1" x14ac:dyDescent="0.15">
      <c r="A6" s="2"/>
      <c r="B6" s="2"/>
      <c r="C6" s="2"/>
      <c r="D6" s="2"/>
      <c r="E6" s="2"/>
      <c r="F6" s="2"/>
      <c r="G6" s="2"/>
      <c r="H6" s="2"/>
      <c r="I6" s="2"/>
      <c r="J6" s="2"/>
      <c r="K6" s="2"/>
      <c r="L6" s="2"/>
      <c r="M6" s="2"/>
      <c r="N6" s="2"/>
      <c r="O6" s="2"/>
      <c r="P6" s="2"/>
      <c r="Q6" s="2"/>
      <c r="R6" s="2"/>
      <c r="S6" s="2"/>
      <c r="T6" s="2"/>
      <c r="U6" s="2"/>
      <c r="V6" s="2"/>
      <c r="W6" s="2"/>
      <c r="X6" s="2"/>
      <c r="Y6" s="2"/>
      <c r="Z6" s="2"/>
    </row>
    <row r="7" spans="1:26" ht="12.75" customHeight="1" x14ac:dyDescent="0.15">
      <c r="A7" s="8" t="s">
        <v>4</v>
      </c>
      <c r="B7" s="2"/>
      <c r="C7" s="2"/>
      <c r="D7" s="2"/>
      <c r="E7" s="2"/>
      <c r="F7" s="2"/>
      <c r="G7" s="2"/>
      <c r="H7" s="2"/>
      <c r="I7" s="2"/>
      <c r="J7" s="2"/>
      <c r="K7" s="2"/>
      <c r="L7" s="2"/>
      <c r="M7" s="2"/>
      <c r="N7" s="2"/>
      <c r="O7" s="2"/>
      <c r="P7" s="2"/>
      <c r="Q7" s="2"/>
      <c r="R7" s="2"/>
      <c r="S7" s="2"/>
      <c r="T7" s="2"/>
      <c r="U7" s="2"/>
      <c r="V7" s="2"/>
      <c r="W7" s="2"/>
      <c r="X7" s="2"/>
      <c r="Y7" s="2"/>
      <c r="Z7" s="2"/>
    </row>
    <row r="8" spans="1:26" ht="12.75" customHeight="1" x14ac:dyDescent="0.15">
      <c r="A8" s="9" t="s">
        <v>5</v>
      </c>
      <c r="B8" s="2"/>
      <c r="C8" s="2"/>
      <c r="D8" s="2"/>
      <c r="E8" s="2"/>
      <c r="F8" s="2"/>
      <c r="G8" s="2"/>
      <c r="H8" s="2"/>
      <c r="I8" s="2"/>
      <c r="J8" s="2"/>
      <c r="K8" s="2"/>
      <c r="L8" s="2"/>
      <c r="M8" s="2"/>
      <c r="N8" s="2"/>
      <c r="O8" s="2"/>
      <c r="P8" s="2"/>
      <c r="Q8" s="2"/>
      <c r="R8" s="2"/>
      <c r="S8" s="2"/>
      <c r="T8" s="2"/>
      <c r="U8" s="2"/>
      <c r="V8" s="2"/>
      <c r="W8" s="2"/>
      <c r="X8" s="2"/>
      <c r="Y8" s="2"/>
      <c r="Z8" s="2"/>
    </row>
    <row r="9" spans="1:26" ht="12.75" customHeight="1" x14ac:dyDescent="0.15">
      <c r="A9" s="2"/>
      <c r="B9" s="2"/>
      <c r="C9" s="2"/>
      <c r="D9" s="2"/>
      <c r="E9" s="2"/>
      <c r="F9" s="2"/>
      <c r="G9" s="2"/>
      <c r="H9" s="2"/>
      <c r="I9" s="2"/>
      <c r="J9" s="2"/>
      <c r="K9" s="2"/>
      <c r="L9" s="2"/>
      <c r="M9" s="2"/>
      <c r="N9" s="2"/>
      <c r="O9" s="2"/>
      <c r="P9" s="2"/>
      <c r="Q9" s="2"/>
      <c r="R9" s="2"/>
      <c r="S9" s="2"/>
      <c r="T9" s="2"/>
      <c r="U9" s="2"/>
      <c r="V9" s="2"/>
      <c r="W9" s="2"/>
      <c r="X9" s="2"/>
      <c r="Y9" s="2"/>
      <c r="Z9" s="2"/>
    </row>
    <row r="10" spans="1:26" ht="12.75" customHeight="1" x14ac:dyDescent="0.1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2.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2.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2.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2.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2.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2.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2.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hyperlinks>
    <hyperlink ref="A5" r:id="rId1" xr:uid="{00000000-0004-0000-0000-000000000000}"/>
    <hyperlink ref="A8" r:id="rId2" xr:uid="{00000000-0004-0000-0000-000001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C05EA-EDE5-8E4A-B5B6-335687B8CFD8}">
  <dimension ref="A1:H52"/>
  <sheetViews>
    <sheetView zoomScale="150" workbookViewId="0">
      <selection activeCell="D3" sqref="D3"/>
    </sheetView>
  </sheetViews>
  <sheetFormatPr baseColWidth="10" defaultRowHeight="13" x14ac:dyDescent="0.15"/>
  <cols>
    <col min="1" max="1" width="10.1640625" customWidth="1"/>
    <col min="2" max="2" width="12.6640625" bestFit="1" customWidth="1"/>
    <col min="4" max="8" width="12.1640625" bestFit="1" customWidth="1"/>
  </cols>
  <sheetData>
    <row r="1" spans="1:8" x14ac:dyDescent="0.15">
      <c r="A1" t="s">
        <v>27</v>
      </c>
      <c r="B1" t="s">
        <v>28</v>
      </c>
      <c r="C1" t="s">
        <v>29</v>
      </c>
      <c r="D1" s="10" t="s">
        <v>18</v>
      </c>
      <c r="E1" s="10" t="s">
        <v>19</v>
      </c>
      <c r="F1" s="10" t="s">
        <v>20</v>
      </c>
      <c r="G1" s="10" t="s">
        <v>21</v>
      </c>
      <c r="H1" s="10" t="s">
        <v>22</v>
      </c>
    </row>
    <row r="2" spans="1:8" x14ac:dyDescent="0.15">
      <c r="A2" s="10" t="s">
        <v>6</v>
      </c>
      <c r="B2" s="10" t="s">
        <v>12</v>
      </c>
      <c r="C2" s="10" t="s">
        <v>16</v>
      </c>
      <c r="D2">
        <v>344875</v>
      </c>
      <c r="E2">
        <v>321151</v>
      </c>
      <c r="F2">
        <v>200731</v>
      </c>
      <c r="G2">
        <v>344896</v>
      </c>
      <c r="H2">
        <v>451497</v>
      </c>
    </row>
    <row r="3" spans="1:8" x14ac:dyDescent="0.15">
      <c r="A3" s="10"/>
      <c r="B3" s="10"/>
      <c r="C3" s="10" t="s">
        <v>17</v>
      </c>
      <c r="D3">
        <v>24.326545295515945</v>
      </c>
      <c r="E3">
        <v>22.112796600774892</v>
      </c>
      <c r="F3">
        <v>13.51354444508774</v>
      </c>
      <c r="G3">
        <v>22.879538397140056</v>
      </c>
      <c r="H3">
        <v>29.422781790989337</v>
      </c>
    </row>
    <row r="4" spans="1:8" x14ac:dyDescent="0.15">
      <c r="A4" s="10"/>
      <c r="B4" s="10" t="s">
        <v>13</v>
      </c>
      <c r="C4" s="10" t="s">
        <v>16</v>
      </c>
      <c r="D4">
        <v>69118</v>
      </c>
      <c r="E4">
        <v>105004</v>
      </c>
      <c r="F4">
        <v>85614</v>
      </c>
      <c r="G4">
        <v>91738</v>
      </c>
      <c r="H4">
        <v>67407</v>
      </c>
    </row>
    <row r="5" spans="1:8" x14ac:dyDescent="0.15">
      <c r="A5" s="10"/>
      <c r="B5" s="10"/>
      <c r="C5" s="10" t="s">
        <v>17</v>
      </c>
      <c r="D5">
        <v>16.6954513723662</v>
      </c>
      <c r="E5">
        <v>24.639861083408615</v>
      </c>
      <c r="F5">
        <v>29.898898182262656</v>
      </c>
      <c r="G5">
        <v>21.010274051035879</v>
      </c>
      <c r="H5">
        <v>12.990264095092732</v>
      </c>
    </row>
    <row r="6" spans="1:8" x14ac:dyDescent="0.15">
      <c r="A6" s="10"/>
      <c r="B6" s="10" t="s">
        <v>14</v>
      </c>
      <c r="C6" s="10" t="s">
        <v>16</v>
      </c>
      <c r="D6">
        <v>413993</v>
      </c>
      <c r="E6">
        <v>426155</v>
      </c>
      <c r="F6">
        <v>286345</v>
      </c>
      <c r="G6">
        <v>436634</v>
      </c>
      <c r="H6">
        <v>518904</v>
      </c>
    </row>
    <row r="7" spans="1:8" x14ac:dyDescent="0.15">
      <c r="A7" s="10"/>
      <c r="B7" s="10"/>
      <c r="C7" s="10" t="s">
        <v>17</v>
      </c>
      <c r="D7">
        <v>29.201941186013869</v>
      </c>
      <c r="E7">
        <v>29.342828873032389</v>
      </c>
      <c r="F7">
        <v>19.277221177240431</v>
      </c>
      <c r="G7">
        <v>28.96520797137935</v>
      </c>
      <c r="H7">
        <v>33.815505224777858</v>
      </c>
    </row>
    <row r="8" spans="1:8" x14ac:dyDescent="0.15">
      <c r="A8" s="10"/>
      <c r="B8" s="10" t="s">
        <v>15</v>
      </c>
      <c r="C8" s="10" t="s">
        <v>16</v>
      </c>
      <c r="D8">
        <v>1003697</v>
      </c>
      <c r="E8">
        <v>1026176</v>
      </c>
      <c r="F8">
        <v>1199061</v>
      </c>
      <c r="G8">
        <v>1070809</v>
      </c>
      <c r="H8">
        <v>1015611</v>
      </c>
    </row>
    <row r="9" spans="1:8" x14ac:dyDescent="0.15">
      <c r="A9" s="10"/>
      <c r="B9" s="10"/>
      <c r="C9" s="10" t="s">
        <v>17</v>
      </c>
      <c r="D9">
        <v>70.798058813986131</v>
      </c>
      <c r="E9">
        <v>70.657171126967611</v>
      </c>
      <c r="F9">
        <v>80.722778822759565</v>
      </c>
      <c r="G9">
        <v>71.034792028620643</v>
      </c>
      <c r="H9">
        <v>66.184494775222134</v>
      </c>
    </row>
    <row r="10" spans="1:8" x14ac:dyDescent="0.15">
      <c r="A10" s="10" t="s">
        <v>7</v>
      </c>
      <c r="B10" s="10" t="s">
        <v>12</v>
      </c>
      <c r="C10" s="10" t="s">
        <v>16</v>
      </c>
      <c r="D10">
        <v>3430284</v>
      </c>
      <c r="E10">
        <v>3393608</v>
      </c>
      <c r="F10">
        <v>3242052</v>
      </c>
      <c r="G10">
        <v>3439732</v>
      </c>
      <c r="H10">
        <v>3427135</v>
      </c>
    </row>
    <row r="11" spans="1:8" x14ac:dyDescent="0.15">
      <c r="A11" s="10"/>
      <c r="B11" s="10"/>
      <c r="C11" s="10" t="s">
        <v>17</v>
      </c>
      <c r="D11">
        <v>61.325025761529403</v>
      </c>
      <c r="E11">
        <v>61.636998240218446</v>
      </c>
      <c r="F11">
        <v>59.257729335797677</v>
      </c>
      <c r="G11">
        <v>62.394091834933725</v>
      </c>
      <c r="H11">
        <v>61.109107109328569</v>
      </c>
    </row>
    <row r="12" spans="1:8" x14ac:dyDescent="0.15">
      <c r="A12" s="10"/>
      <c r="B12" s="10" t="s">
        <v>13</v>
      </c>
      <c r="C12" s="10" t="s">
        <v>16</v>
      </c>
      <c r="D12">
        <v>355408</v>
      </c>
      <c r="E12">
        <v>384335</v>
      </c>
      <c r="F12">
        <v>395925</v>
      </c>
      <c r="G12">
        <v>313230</v>
      </c>
      <c r="H12">
        <v>369744</v>
      </c>
    </row>
    <row r="13" spans="1:8" x14ac:dyDescent="0.15">
      <c r="A13" s="10"/>
      <c r="B13" s="10"/>
      <c r="C13" s="10" t="s">
        <v>17</v>
      </c>
      <c r="D13">
        <v>9.3881911153892084</v>
      </c>
      <c r="E13">
        <v>10.173128604640144</v>
      </c>
      <c r="F13">
        <v>10.883108936642536</v>
      </c>
      <c r="G13">
        <v>8.3462076088167159</v>
      </c>
      <c r="H13">
        <v>9.7381033211751014</v>
      </c>
    </row>
    <row r="14" spans="1:8" x14ac:dyDescent="0.15">
      <c r="A14" s="10"/>
      <c r="B14" s="10" t="s">
        <v>14</v>
      </c>
      <c r="C14" s="10" t="s">
        <v>16</v>
      </c>
      <c r="D14">
        <v>3785692</v>
      </c>
      <c r="E14">
        <v>3777943</v>
      </c>
      <c r="F14">
        <v>3637977</v>
      </c>
      <c r="G14">
        <v>3752962</v>
      </c>
      <c r="H14">
        <v>3796879</v>
      </c>
    </row>
    <row r="15" spans="1:8" x14ac:dyDescent="0.15">
      <c r="A15" s="10"/>
      <c r="B15" s="10"/>
      <c r="C15" s="10" t="s">
        <v>17</v>
      </c>
      <c r="D15">
        <v>67.678845082569183</v>
      </c>
      <c r="E15">
        <v>68.617549829752164</v>
      </c>
      <c r="F15">
        <v>66.494385776618387</v>
      </c>
      <c r="G15">
        <v>68.07584302527539</v>
      </c>
      <c r="H15">
        <v>67.701997584618155</v>
      </c>
    </row>
    <row r="16" spans="1:8" x14ac:dyDescent="0.15">
      <c r="A16" s="10"/>
      <c r="B16" s="10" t="s">
        <v>15</v>
      </c>
      <c r="C16" s="10" t="s">
        <v>16</v>
      </c>
      <c r="D16">
        <v>1807920</v>
      </c>
      <c r="E16">
        <v>1727854</v>
      </c>
      <c r="F16">
        <v>1833127</v>
      </c>
      <c r="G16">
        <v>1759951</v>
      </c>
      <c r="H16">
        <v>1811344</v>
      </c>
    </row>
    <row r="17" spans="1:8" x14ac:dyDescent="0.15">
      <c r="A17" s="10"/>
      <c r="B17" s="10"/>
      <c r="C17" s="10" t="s">
        <v>17</v>
      </c>
      <c r="D17">
        <v>32.321154917430817</v>
      </c>
      <c r="E17">
        <v>31.382450170247836</v>
      </c>
      <c r="F17">
        <v>33.505614223381613</v>
      </c>
      <c r="G17">
        <v>31.92415697472461</v>
      </c>
      <c r="H17">
        <v>32.298002415381845</v>
      </c>
    </row>
    <row r="18" spans="1:8" x14ac:dyDescent="0.15">
      <c r="A18" s="10" t="s">
        <v>8</v>
      </c>
      <c r="B18" s="10" t="s">
        <v>12</v>
      </c>
      <c r="C18" s="10" t="s">
        <v>16</v>
      </c>
      <c r="D18">
        <v>7514942</v>
      </c>
      <c r="E18">
        <v>7515616</v>
      </c>
      <c r="F18">
        <v>7494905</v>
      </c>
      <c r="G18">
        <v>7487048</v>
      </c>
      <c r="H18">
        <v>7638966</v>
      </c>
    </row>
    <row r="19" spans="1:8" x14ac:dyDescent="0.15">
      <c r="A19" s="10"/>
      <c r="B19" s="10"/>
      <c r="C19" s="10" t="s">
        <v>17</v>
      </c>
      <c r="D19">
        <v>84.408254258718515</v>
      </c>
      <c r="E19">
        <v>84.483796290571661</v>
      </c>
      <c r="F19">
        <v>84.420117676039581</v>
      </c>
      <c r="G19">
        <v>83.859835014364833</v>
      </c>
      <c r="H19">
        <v>84.74323263091577</v>
      </c>
    </row>
    <row r="20" spans="1:8" x14ac:dyDescent="0.15">
      <c r="A20" s="10"/>
      <c r="B20" s="10" t="s">
        <v>13</v>
      </c>
      <c r="C20" s="10" t="s">
        <v>16</v>
      </c>
      <c r="D20">
        <v>247633</v>
      </c>
      <c r="E20">
        <v>260267</v>
      </c>
      <c r="F20">
        <v>311719</v>
      </c>
      <c r="G20">
        <v>261978</v>
      </c>
      <c r="H20">
        <v>283660</v>
      </c>
    </row>
    <row r="21" spans="1:8" x14ac:dyDescent="0.15">
      <c r="A21" s="10"/>
      <c r="B21" s="10"/>
      <c r="C21" s="10" t="s">
        <v>17</v>
      </c>
      <c r="D21">
        <v>3.1900883405313314</v>
      </c>
      <c r="E21">
        <v>3.3471054026918874</v>
      </c>
      <c r="F21">
        <v>3.9930064519566977</v>
      </c>
      <c r="G21">
        <v>3.3807861788049234</v>
      </c>
      <c r="H21">
        <v>3.5803785260089267</v>
      </c>
    </row>
    <row r="22" spans="1:8" x14ac:dyDescent="0.15">
      <c r="A22" s="10"/>
      <c r="B22" s="10" t="s">
        <v>14</v>
      </c>
      <c r="C22" s="10" t="s">
        <v>16</v>
      </c>
      <c r="D22">
        <v>7762575</v>
      </c>
      <c r="E22">
        <v>7775883</v>
      </c>
      <c r="F22">
        <v>7806624</v>
      </c>
      <c r="G22">
        <v>7749026</v>
      </c>
      <c r="H22">
        <v>7922626</v>
      </c>
    </row>
    <row r="23" spans="1:8" x14ac:dyDescent="0.15">
      <c r="A23" s="10"/>
      <c r="B23" s="10"/>
      <c r="C23" s="10" t="s">
        <v>17</v>
      </c>
      <c r="D23">
        <v>87.189682142905681</v>
      </c>
      <c r="E23">
        <v>87.409483846875531</v>
      </c>
      <c r="F23">
        <v>87.931216837651021</v>
      </c>
      <c r="G23">
        <v>86.794159978942773</v>
      </c>
      <c r="H23">
        <v>87.890028331811109</v>
      </c>
    </row>
    <row r="24" spans="1:8" x14ac:dyDescent="0.15">
      <c r="A24" s="10"/>
      <c r="B24" s="10" t="s">
        <v>15</v>
      </c>
      <c r="C24" s="10" t="s">
        <v>16</v>
      </c>
      <c r="D24">
        <v>1140514</v>
      </c>
      <c r="E24">
        <v>1120043</v>
      </c>
      <c r="F24">
        <v>1071479</v>
      </c>
      <c r="G24">
        <v>1179024</v>
      </c>
      <c r="H24">
        <v>1091623</v>
      </c>
    </row>
    <row r="25" spans="1:8" x14ac:dyDescent="0.15">
      <c r="A25" s="10"/>
      <c r="B25" s="10"/>
      <c r="C25" s="10" t="s">
        <v>17</v>
      </c>
      <c r="D25">
        <v>12.81031785709432</v>
      </c>
      <c r="E25">
        <v>12.590516153124469</v>
      </c>
      <c r="F25">
        <v>12.06878316234898</v>
      </c>
      <c r="G25">
        <v>13.205840021057227</v>
      </c>
      <c r="H25">
        <v>12.109971668188892</v>
      </c>
    </row>
    <row r="26" spans="1:8" x14ac:dyDescent="0.15">
      <c r="A26" s="10" t="s">
        <v>9</v>
      </c>
      <c r="B26" s="10" t="s">
        <v>12</v>
      </c>
      <c r="C26" s="10" t="s">
        <v>16</v>
      </c>
      <c r="D26">
        <v>10999137</v>
      </c>
      <c r="E26">
        <v>10916453</v>
      </c>
      <c r="F26">
        <v>10858987</v>
      </c>
      <c r="G26">
        <v>10944865</v>
      </c>
      <c r="H26">
        <v>11095712</v>
      </c>
    </row>
    <row r="27" spans="1:8" x14ac:dyDescent="0.15">
      <c r="A27" s="10"/>
      <c r="B27" s="10"/>
      <c r="C27" s="10" t="s">
        <v>17</v>
      </c>
      <c r="D27">
        <v>85.316598281340674</v>
      </c>
      <c r="E27">
        <v>84.899550718338148</v>
      </c>
      <c r="F27">
        <v>84.693814996477798</v>
      </c>
      <c r="G27">
        <v>85.130593652625095</v>
      </c>
      <c r="H27">
        <v>85.356476390736645</v>
      </c>
    </row>
    <row r="28" spans="1:8" x14ac:dyDescent="0.15">
      <c r="A28" s="10"/>
      <c r="B28" s="10" t="s">
        <v>13</v>
      </c>
      <c r="C28" s="10" t="s">
        <v>16</v>
      </c>
      <c r="D28">
        <v>304832</v>
      </c>
      <c r="E28">
        <v>305769</v>
      </c>
      <c r="F28">
        <v>388675</v>
      </c>
      <c r="G28">
        <v>286653</v>
      </c>
      <c r="H28">
        <v>277244</v>
      </c>
    </row>
    <row r="29" spans="1:8" x14ac:dyDescent="0.15">
      <c r="A29" s="10"/>
      <c r="B29" s="10"/>
      <c r="C29" s="10" t="s">
        <v>17</v>
      </c>
      <c r="D29">
        <v>2.6966811391644829</v>
      </c>
      <c r="E29">
        <v>2.7246743113796894</v>
      </c>
      <c r="F29">
        <v>3.4556070408232396</v>
      </c>
      <c r="G29">
        <v>2.5522195664023331</v>
      </c>
      <c r="H29">
        <v>2.4377479346618416</v>
      </c>
    </row>
    <row r="30" spans="1:8" x14ac:dyDescent="0.15">
      <c r="A30" s="10"/>
      <c r="B30" s="10" t="s">
        <v>14</v>
      </c>
      <c r="C30" s="10" t="s">
        <v>16</v>
      </c>
      <c r="D30">
        <v>11303969</v>
      </c>
      <c r="E30">
        <v>11222222</v>
      </c>
      <c r="F30">
        <v>11247662</v>
      </c>
      <c r="G30">
        <v>11231518</v>
      </c>
      <c r="H30">
        <v>11372956</v>
      </c>
    </row>
    <row r="31" spans="1:8" x14ac:dyDescent="0.15">
      <c r="A31" s="10"/>
      <c r="B31" s="10"/>
      <c r="C31" s="10" t="s">
        <v>17</v>
      </c>
      <c r="D31">
        <v>87.681077357044316</v>
      </c>
      <c r="E31">
        <v>87.277580534762535</v>
      </c>
      <c r="F31">
        <v>87.725255087874515</v>
      </c>
      <c r="G31">
        <v>87.360218235688109</v>
      </c>
      <c r="H31">
        <v>87.489243620137813</v>
      </c>
    </row>
    <row r="32" spans="1:8" x14ac:dyDescent="0.15">
      <c r="A32" s="10"/>
      <c r="B32" s="10" t="s">
        <v>15</v>
      </c>
      <c r="C32" s="10" t="s">
        <v>16</v>
      </c>
      <c r="D32">
        <v>1588173</v>
      </c>
      <c r="E32">
        <v>1635859</v>
      </c>
      <c r="F32">
        <v>1573802</v>
      </c>
      <c r="G32">
        <v>1625041</v>
      </c>
      <c r="H32">
        <v>1626306</v>
      </c>
    </row>
    <row r="33" spans="1:8" x14ac:dyDescent="0.15">
      <c r="A33" s="10"/>
      <c r="B33" s="10"/>
      <c r="C33" s="10" t="s">
        <v>17</v>
      </c>
      <c r="D33">
        <v>12.318922642955684</v>
      </c>
      <c r="E33">
        <v>12.722419465237463</v>
      </c>
      <c r="F33">
        <v>12.274744912125485</v>
      </c>
      <c r="G33">
        <v>12.639781764311891</v>
      </c>
      <c r="H33">
        <v>12.510756379862189</v>
      </c>
    </row>
    <row r="34" spans="1:8" x14ac:dyDescent="0.15">
      <c r="A34" s="10" t="s">
        <v>10</v>
      </c>
      <c r="B34" s="10" t="s">
        <v>12</v>
      </c>
      <c r="C34" s="10" t="s">
        <v>16</v>
      </c>
      <c r="D34">
        <v>9241618</v>
      </c>
      <c r="E34">
        <v>9298660</v>
      </c>
      <c r="F34">
        <v>9225864</v>
      </c>
      <c r="G34">
        <v>9315845</v>
      </c>
      <c r="H34">
        <v>9375543</v>
      </c>
    </row>
    <row r="35" spans="1:8" x14ac:dyDescent="0.15">
      <c r="A35" s="10"/>
      <c r="B35" s="10"/>
      <c r="C35" s="10" t="s">
        <v>17</v>
      </c>
      <c r="D35">
        <v>72.624614475213605</v>
      </c>
      <c r="E35">
        <v>72.152175814100517</v>
      </c>
      <c r="F35">
        <v>70.653190950683097</v>
      </c>
      <c r="G35">
        <v>70.692092871347199</v>
      </c>
      <c r="H35">
        <v>70.773979420949132</v>
      </c>
    </row>
    <row r="36" spans="1:8" x14ac:dyDescent="0.15">
      <c r="A36" s="10"/>
      <c r="B36" s="10" t="s">
        <v>13</v>
      </c>
      <c r="C36" s="10" t="s">
        <v>16</v>
      </c>
      <c r="D36">
        <v>269666</v>
      </c>
      <c r="E36">
        <v>273827</v>
      </c>
      <c r="F36">
        <v>372936</v>
      </c>
      <c r="G36">
        <v>280858</v>
      </c>
      <c r="H36">
        <v>279580</v>
      </c>
    </row>
    <row r="37" spans="1:8" x14ac:dyDescent="0.15">
      <c r="A37" s="10"/>
      <c r="B37" s="10"/>
      <c r="C37" s="10" t="s">
        <v>17</v>
      </c>
      <c r="D37">
        <v>2.8352218270424898</v>
      </c>
      <c r="E37">
        <v>2.8605627774683842</v>
      </c>
      <c r="F37">
        <v>3.8852356544568072</v>
      </c>
      <c r="G37">
        <v>2.9266092740392193</v>
      </c>
      <c r="H37">
        <v>2.8956648195988803</v>
      </c>
    </row>
    <row r="38" spans="1:8" x14ac:dyDescent="0.15">
      <c r="A38" s="10"/>
      <c r="B38" s="10" t="s">
        <v>14</v>
      </c>
      <c r="C38" s="10" t="s">
        <v>16</v>
      </c>
      <c r="D38">
        <v>9511284</v>
      </c>
      <c r="E38">
        <v>9572487</v>
      </c>
      <c r="F38">
        <v>9598800</v>
      </c>
      <c r="G38">
        <v>9596703</v>
      </c>
      <c r="H38">
        <v>9655123</v>
      </c>
    </row>
    <row r="39" spans="1:8" x14ac:dyDescent="0.15">
      <c r="A39" s="10"/>
      <c r="B39" s="10"/>
      <c r="C39" s="10" t="s">
        <v>17</v>
      </c>
      <c r="D39">
        <v>74.743766044459719</v>
      </c>
      <c r="E39">
        <v>74.276913555522157</v>
      </c>
      <c r="F39">
        <v>73.509196460886145</v>
      </c>
      <c r="G39">
        <v>72.823347719368059</v>
      </c>
      <c r="H39">
        <v>72.884469359132879</v>
      </c>
    </row>
    <row r="40" spans="1:8" x14ac:dyDescent="0.15">
      <c r="A40" s="10"/>
      <c r="B40" s="10" t="s">
        <v>15</v>
      </c>
      <c r="C40" s="10" t="s">
        <v>16</v>
      </c>
      <c r="D40">
        <v>3213903</v>
      </c>
      <c r="E40">
        <v>3315080</v>
      </c>
      <c r="F40">
        <v>3459158</v>
      </c>
      <c r="G40">
        <v>3581355</v>
      </c>
      <c r="H40">
        <v>3592038</v>
      </c>
    </row>
    <row r="41" spans="1:8" x14ac:dyDescent="0.15">
      <c r="A41" s="10"/>
      <c r="B41" s="10"/>
      <c r="C41" s="10" t="s">
        <v>17</v>
      </c>
      <c r="D41">
        <v>25.256233955540296</v>
      </c>
      <c r="E41">
        <v>25.723086444477843</v>
      </c>
      <c r="F41">
        <v>26.490803539113855</v>
      </c>
      <c r="G41">
        <v>27.176652280631941</v>
      </c>
      <c r="H41">
        <v>27.115530640867121</v>
      </c>
    </row>
    <row r="42" spans="1:8" x14ac:dyDescent="0.15">
      <c r="A42" s="10" t="s">
        <v>11</v>
      </c>
      <c r="B42" s="10" t="s">
        <v>12</v>
      </c>
      <c r="C42" s="10" t="s">
        <v>16</v>
      </c>
      <c r="D42">
        <v>1291260</v>
      </c>
      <c r="E42">
        <v>1362233</v>
      </c>
      <c r="F42">
        <v>1285502</v>
      </c>
      <c r="G42">
        <v>1345345</v>
      </c>
      <c r="H42">
        <v>1496305</v>
      </c>
    </row>
    <row r="43" spans="1:8" x14ac:dyDescent="0.15">
      <c r="A43" s="10"/>
      <c r="B43" s="10"/>
      <c r="C43" s="10" t="s">
        <v>17</v>
      </c>
      <c r="D43">
        <v>10.946439876556481</v>
      </c>
      <c r="E43">
        <v>11.420295944660776</v>
      </c>
      <c r="F43">
        <v>10.643616986043677</v>
      </c>
      <c r="G43">
        <v>10.976814916024017</v>
      </c>
      <c r="H43">
        <v>12.018055536033764</v>
      </c>
    </row>
    <row r="44" spans="1:8" x14ac:dyDescent="0.15">
      <c r="A44" s="10"/>
      <c r="B44" s="10" t="s">
        <v>13</v>
      </c>
      <c r="C44" s="10" t="s">
        <v>16</v>
      </c>
      <c r="D44">
        <v>17198</v>
      </c>
      <c r="E44">
        <v>21497</v>
      </c>
      <c r="F44">
        <v>35663</v>
      </c>
      <c r="G44">
        <v>24879</v>
      </c>
      <c r="H44">
        <v>28139</v>
      </c>
    </row>
    <row r="45" spans="1:8" x14ac:dyDescent="0.15">
      <c r="A45" s="10"/>
      <c r="B45" s="10"/>
      <c r="C45" s="10" t="s">
        <v>17</v>
      </c>
      <c r="D45">
        <v>1.3143715732564591</v>
      </c>
      <c r="E45">
        <v>1.5535545229199339</v>
      </c>
      <c r="F45">
        <v>2.6993600345149926</v>
      </c>
      <c r="G45">
        <v>1.815688529758638</v>
      </c>
      <c r="H45">
        <v>1.8458533078289527</v>
      </c>
    </row>
    <row r="46" spans="1:8" x14ac:dyDescent="0.15">
      <c r="A46" s="10"/>
      <c r="B46" s="10" t="s">
        <v>14</v>
      </c>
      <c r="C46" s="10" t="s">
        <v>16</v>
      </c>
      <c r="D46">
        <v>1308458</v>
      </c>
      <c r="E46">
        <v>1383730</v>
      </c>
      <c r="F46">
        <v>1321165</v>
      </c>
      <c r="G46">
        <v>1370224</v>
      </c>
      <c r="H46">
        <v>1524444</v>
      </c>
    </row>
    <row r="47" spans="1:8" x14ac:dyDescent="0.15">
      <c r="A47" s="10"/>
      <c r="B47" s="10"/>
      <c r="C47" s="10" t="s">
        <v>17</v>
      </c>
      <c r="D47">
        <v>11.092233034399996</v>
      </c>
      <c r="E47">
        <v>11.600516290168756</v>
      </c>
      <c r="F47">
        <v>10.938897205423558</v>
      </c>
      <c r="G47">
        <v>11.179805359587384</v>
      </c>
      <c r="H47">
        <v>12.244062977516922</v>
      </c>
    </row>
    <row r="48" spans="1:8" x14ac:dyDescent="0.15">
      <c r="A48" s="10"/>
      <c r="B48" s="10" t="s">
        <v>15</v>
      </c>
      <c r="C48" s="10" t="s">
        <v>16</v>
      </c>
      <c r="D48">
        <v>10487706</v>
      </c>
      <c r="E48">
        <v>10544446</v>
      </c>
      <c r="F48">
        <v>10756515</v>
      </c>
      <c r="G48">
        <v>10886018</v>
      </c>
      <c r="H48">
        <v>10926031</v>
      </c>
    </row>
    <row r="49" spans="1:8" x14ac:dyDescent="0.15">
      <c r="A49" s="10"/>
      <c r="B49" s="10"/>
      <c r="C49" s="10" t="s">
        <v>17</v>
      </c>
      <c r="D49">
        <v>88.907766965600004</v>
      </c>
      <c r="E49">
        <v>88.399483709831244</v>
      </c>
      <c r="F49">
        <v>89.061102794576442</v>
      </c>
      <c r="G49">
        <v>88.820194640412609</v>
      </c>
      <c r="H49">
        <v>87.755937022483081</v>
      </c>
    </row>
    <row r="52" spans="1:8" x14ac:dyDescent="0.15">
      <c r="A52" s="22" t="s">
        <v>25</v>
      </c>
      <c r="B52" s="22"/>
    </row>
  </sheetData>
  <mergeCells count="1">
    <mergeCell ref="A52:B52"/>
  </mergeCells>
  <phoneticPr fontId="8" type="noConversion"/>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B62A0-FCD6-844C-B272-6C0DB946F5C2}">
  <dimension ref="A1:F2"/>
  <sheetViews>
    <sheetView zoomScale="150" workbookViewId="0">
      <selection activeCell="F18" sqref="F18"/>
    </sheetView>
  </sheetViews>
  <sheetFormatPr baseColWidth="10" defaultRowHeight="13" x14ac:dyDescent="0.15"/>
  <cols>
    <col min="1" max="1" width="7.5" bestFit="1" customWidth="1"/>
    <col min="2" max="2" width="20.83203125" bestFit="1" customWidth="1"/>
    <col min="3" max="3" width="22.83203125" bestFit="1" customWidth="1"/>
    <col min="4" max="4" width="18" bestFit="1" customWidth="1"/>
    <col min="5" max="5" width="24.6640625" bestFit="1" customWidth="1"/>
    <col min="6" max="6" width="26.6640625" bestFit="1" customWidth="1"/>
  </cols>
  <sheetData>
    <row r="1" spans="1:6" x14ac:dyDescent="0.15">
      <c r="A1" t="s">
        <v>30</v>
      </c>
      <c r="B1" t="s">
        <v>12</v>
      </c>
      <c r="C1" t="s">
        <v>13</v>
      </c>
      <c r="D1" t="s">
        <v>15</v>
      </c>
      <c r="E1" t="s">
        <v>42</v>
      </c>
      <c r="F1" t="s">
        <v>43</v>
      </c>
    </row>
    <row r="2" spans="1:6" x14ac:dyDescent="0.15">
      <c r="A2" t="s">
        <v>44</v>
      </c>
      <c r="B2" s="11">
        <v>343452.24814710446</v>
      </c>
      <c r="C2" s="11">
        <v>131693.78042261527</v>
      </c>
      <c r="D2" s="11">
        <v>208705.89190605047</v>
      </c>
      <c r="E2">
        <v>5.8948353289377054E-3</v>
      </c>
      <c r="F2">
        <v>4.2042847778398021E-3</v>
      </c>
    </row>
  </sheetData>
  <pageMargins left="0.7" right="0.7" top="0.75" bottom="0.75" header="0.3" footer="0.3"/>
  <pageSetup paperSize="9" orientation="portrait" horizontalDpi="0" verticalDpi="0"/>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37AD-22A6-374A-8C6D-A3677794B2EA}">
  <dimension ref="A1:L6"/>
  <sheetViews>
    <sheetView zoomScale="150" workbookViewId="0">
      <selection activeCell="G17" sqref="G17"/>
    </sheetView>
  </sheetViews>
  <sheetFormatPr baseColWidth="10" defaultRowHeight="13" x14ac:dyDescent="0.15"/>
  <cols>
    <col min="1" max="1" width="10" bestFit="1" customWidth="1"/>
    <col min="2" max="2" width="16.33203125" bestFit="1" customWidth="1"/>
    <col min="3" max="3" width="18.33203125" bestFit="1" customWidth="1"/>
    <col min="4" max="4" width="12.33203125" bestFit="1" customWidth="1"/>
    <col min="5" max="5" width="11.1640625" bestFit="1" customWidth="1"/>
    <col min="6" max="6" width="20.1640625" bestFit="1" customWidth="1"/>
    <col min="7" max="7" width="18" bestFit="1" customWidth="1"/>
    <col min="8" max="8" width="14" bestFit="1" customWidth="1"/>
    <col min="9" max="9" width="24.6640625" bestFit="1" customWidth="1"/>
    <col min="10" max="10" width="26.6640625" bestFit="1" customWidth="1"/>
    <col min="11" max="11" width="28.83203125" bestFit="1" customWidth="1"/>
    <col min="12" max="12" width="31" bestFit="1" customWidth="1"/>
  </cols>
  <sheetData>
    <row r="1" spans="1:12" s="18" customFormat="1" ht="14" x14ac:dyDescent="0.15">
      <c r="A1" s="20" t="s">
        <v>30</v>
      </c>
      <c r="B1" s="20" t="s">
        <v>12</v>
      </c>
      <c r="C1" s="20" t="s">
        <v>13</v>
      </c>
      <c r="D1" s="20" t="s">
        <v>14</v>
      </c>
      <c r="E1" s="18" t="s">
        <v>15</v>
      </c>
      <c r="F1" s="18" t="s">
        <v>31</v>
      </c>
      <c r="G1" s="18" t="s">
        <v>32</v>
      </c>
      <c r="H1" s="18" t="s">
        <v>33</v>
      </c>
      <c r="I1" s="18" t="s">
        <v>35</v>
      </c>
      <c r="J1" s="18" t="s">
        <v>36</v>
      </c>
      <c r="K1" s="18" t="s">
        <v>37</v>
      </c>
      <c r="L1" s="18" t="s">
        <v>38</v>
      </c>
    </row>
    <row r="2" spans="1:12" x14ac:dyDescent="0.15">
      <c r="A2" s="15" t="s">
        <v>18</v>
      </c>
      <c r="B2" s="17">
        <v>31530856</v>
      </c>
      <c r="C2" s="17">
        <v>1246657</v>
      </c>
      <c r="D2" s="17">
        <v>32777513</v>
      </c>
      <c r="E2" s="11">
        <v>8754207</v>
      </c>
      <c r="F2" s="19">
        <v>3.8033910626471303E-2</v>
      </c>
      <c r="G2" s="19">
        <v>0.75919937821019701</v>
      </c>
      <c r="H2" s="19">
        <v>0.78921636281858798</v>
      </c>
    </row>
    <row r="3" spans="1:12" x14ac:dyDescent="0.15">
      <c r="A3" s="15" t="s">
        <v>19</v>
      </c>
      <c r="B3" s="17">
        <v>31445488</v>
      </c>
      <c r="C3" s="17">
        <v>1329202</v>
      </c>
      <c r="D3" s="17">
        <v>32774690</v>
      </c>
      <c r="E3" s="11">
        <v>8825012</v>
      </c>
      <c r="F3" s="19">
        <v>4.0555745912470902E-2</v>
      </c>
      <c r="G3" s="19">
        <v>0.75590656875378603</v>
      </c>
      <c r="H3" s="19">
        <v>0.78785876879598804</v>
      </c>
      <c r="I3" s="11">
        <v>-85368</v>
      </c>
      <c r="J3" s="11">
        <v>82545</v>
      </c>
      <c r="K3" s="19">
        <f>WorkingAge_YoY[[#This Row],[Employment Rate]]-G2</f>
        <v>-3.2928094564109722E-3</v>
      </c>
      <c r="L3" s="19">
        <f>WorkingAge_YoY[[#This Row],[Unemployment Rate]]-F2</f>
        <v>2.5218352859995991E-3</v>
      </c>
    </row>
    <row r="4" spans="1:12" x14ac:dyDescent="0.15">
      <c r="A4" s="15" t="s">
        <v>20</v>
      </c>
      <c r="B4" s="17">
        <v>31022539</v>
      </c>
      <c r="C4" s="17">
        <v>1554869</v>
      </c>
      <c r="D4" s="17">
        <v>32577408</v>
      </c>
      <c r="E4" s="11">
        <v>9136627</v>
      </c>
      <c r="F4" s="19">
        <v>4.7728444202804601E-2</v>
      </c>
      <c r="G4" s="19">
        <v>0.74369547323820395</v>
      </c>
      <c r="H4" s="19">
        <v>0.78096995411736092</v>
      </c>
      <c r="I4" s="11">
        <v>-422949</v>
      </c>
      <c r="J4" s="11">
        <v>225667</v>
      </c>
      <c r="K4" s="19">
        <f>WorkingAge_YoY[[#This Row],[Employment Rate]]-G3</f>
        <v>-1.2211095515582082E-2</v>
      </c>
      <c r="L4" s="19">
        <f>WorkingAge_YoY[[#This Row],[Unemployment Rate]]-F3</f>
        <v>7.1726982903336997E-3</v>
      </c>
    </row>
    <row r="5" spans="1:12" x14ac:dyDescent="0.15">
      <c r="A5" s="15" t="s">
        <v>21</v>
      </c>
      <c r="B5" s="17">
        <v>31532386</v>
      </c>
      <c r="C5" s="17">
        <v>1234457</v>
      </c>
      <c r="D5" s="17">
        <v>32766843</v>
      </c>
      <c r="E5" s="11">
        <v>9216180</v>
      </c>
      <c r="F5" s="19">
        <v>3.7673968163487698E-2</v>
      </c>
      <c r="G5" s="19">
        <v>0.75107469035757601</v>
      </c>
      <c r="H5" s="19">
        <v>0.78047840909407595</v>
      </c>
      <c r="I5" s="11">
        <v>509847</v>
      </c>
      <c r="J5" s="11">
        <v>-320412</v>
      </c>
      <c r="K5" s="19">
        <f>WorkingAge_YoY[[#This Row],[Employment Rate]]-G4</f>
        <v>7.3792171193720613E-3</v>
      </c>
      <c r="L5" s="19">
        <f>WorkingAge_YoY[[#This Row],[Unemployment Rate]]-F4</f>
        <v>-1.0054476039316904E-2</v>
      </c>
    </row>
    <row r="6" spans="1:12" x14ac:dyDescent="0.15">
      <c r="A6" s="15" t="s">
        <v>22</v>
      </c>
      <c r="B6" s="17">
        <v>31988853</v>
      </c>
      <c r="C6" s="17">
        <v>1277635</v>
      </c>
      <c r="D6" s="17">
        <v>33266488</v>
      </c>
      <c r="E6" s="11">
        <v>9136922</v>
      </c>
      <c r="F6" s="19">
        <v>3.84060679925095E-2</v>
      </c>
      <c r="G6" s="19">
        <v>0.75439340845464997</v>
      </c>
      <c r="H6" s="19">
        <v>0.78452388616858915</v>
      </c>
      <c r="I6" s="11">
        <v>456467</v>
      </c>
      <c r="J6" s="11">
        <v>43178</v>
      </c>
      <c r="K6" s="19">
        <f>WorkingAge_YoY[[#This Row],[Employment Rate]]-G5</f>
        <v>3.3187180970739583E-3</v>
      </c>
      <c r="L6" s="19">
        <f>WorkingAge_YoY[[#This Row],[Unemployment Rate]]-F5</f>
        <v>7.3209982902180254E-4</v>
      </c>
    </row>
  </sheetData>
  <pageMargins left="0.7" right="0.7" top="0.75" bottom="0.75" header="0.3" footer="0.3"/>
  <pageSetup paperSize="9" orientation="portrait" horizontalDpi="0" verticalDpi="0"/>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3D3AA-F25B-4D4D-8237-7D57DFCB38C9}">
  <dimension ref="A1:E7"/>
  <sheetViews>
    <sheetView zoomScale="226" workbookViewId="0">
      <selection activeCell="F11" sqref="F11"/>
    </sheetView>
  </sheetViews>
  <sheetFormatPr baseColWidth="10" defaultRowHeight="13" x14ac:dyDescent="0.15"/>
  <cols>
    <col min="1" max="1" width="10" bestFit="1" customWidth="1"/>
    <col min="2" max="2" width="16.33203125" bestFit="1" customWidth="1"/>
    <col min="3" max="3" width="18.33203125" bestFit="1" customWidth="1"/>
    <col min="4" max="5" width="13.6640625" bestFit="1" customWidth="1"/>
    <col min="6" max="6" width="22.1640625" bestFit="1" customWidth="1"/>
    <col min="7" max="8" width="12.1640625" bestFit="1" customWidth="1"/>
    <col min="9" max="9" width="23" bestFit="1" customWidth="1"/>
    <col min="10" max="10" width="22.1640625" bestFit="1" customWidth="1"/>
    <col min="11" max="11" width="23" bestFit="1" customWidth="1"/>
    <col min="12" max="12" width="22.1640625" bestFit="1" customWidth="1"/>
    <col min="13" max="14" width="12.1640625" bestFit="1" customWidth="1"/>
    <col min="15" max="15" width="23" bestFit="1" customWidth="1"/>
    <col min="16" max="16" width="22.1640625" bestFit="1" customWidth="1"/>
    <col min="17" max="17" width="23" bestFit="1" customWidth="1"/>
    <col min="18" max="18" width="22.1640625" bestFit="1" customWidth="1"/>
    <col min="19" max="20" width="12.1640625" bestFit="1" customWidth="1"/>
    <col min="21" max="21" width="23" bestFit="1" customWidth="1"/>
    <col min="22" max="22" width="22.1640625" bestFit="1" customWidth="1"/>
    <col min="23" max="23" width="23" bestFit="1" customWidth="1"/>
    <col min="24" max="24" width="22.1640625" bestFit="1" customWidth="1"/>
    <col min="25" max="26" width="12.1640625" bestFit="1" customWidth="1"/>
    <col min="27" max="27" width="23" bestFit="1" customWidth="1"/>
    <col min="28" max="28" width="22.1640625" bestFit="1" customWidth="1"/>
    <col min="29" max="29" width="23" bestFit="1" customWidth="1"/>
    <col min="30" max="30" width="22.1640625" bestFit="1" customWidth="1"/>
    <col min="31" max="31" width="17.83203125" bestFit="1" customWidth="1"/>
    <col min="32" max="32" width="17" bestFit="1" customWidth="1"/>
  </cols>
  <sheetData>
    <row r="1" spans="1:5" x14ac:dyDescent="0.15">
      <c r="A1" s="15" t="s">
        <v>30</v>
      </c>
      <c r="B1" s="15" t="s">
        <v>12</v>
      </c>
      <c r="C1" s="15" t="s">
        <v>13</v>
      </c>
      <c r="D1" s="15" t="s">
        <v>15</v>
      </c>
      <c r="E1" s="15" t="s">
        <v>23</v>
      </c>
    </row>
    <row r="2" spans="1:5" hidden="1" x14ac:dyDescent="0.15">
      <c r="A2" s="15" t="s">
        <v>18</v>
      </c>
      <c r="B2" s="17">
        <v>31530856</v>
      </c>
      <c r="C2" s="17">
        <v>1246657</v>
      </c>
      <c r="D2" s="17">
        <v>8754207</v>
      </c>
      <c r="E2" s="17">
        <v>41531720</v>
      </c>
    </row>
    <row r="3" spans="1:5" hidden="1" x14ac:dyDescent="0.15">
      <c r="A3" s="15" t="s">
        <v>19</v>
      </c>
      <c r="B3" s="17">
        <v>31445488</v>
      </c>
      <c r="C3" s="17">
        <v>1329202</v>
      </c>
      <c r="D3" s="17">
        <v>8825012</v>
      </c>
      <c r="E3" s="17">
        <v>41599702</v>
      </c>
    </row>
    <row r="4" spans="1:5" hidden="1" x14ac:dyDescent="0.15">
      <c r="A4" s="15" t="s">
        <v>20</v>
      </c>
      <c r="B4" s="17">
        <v>31022539</v>
      </c>
      <c r="C4" s="17">
        <v>1554869</v>
      </c>
      <c r="D4" s="17">
        <v>9136627</v>
      </c>
      <c r="E4" s="17">
        <v>41714035</v>
      </c>
    </row>
    <row r="5" spans="1:5" hidden="1" x14ac:dyDescent="0.15">
      <c r="A5" s="15" t="s">
        <v>21</v>
      </c>
      <c r="B5" s="17">
        <v>31532386</v>
      </c>
      <c r="C5" s="17">
        <v>1234457</v>
      </c>
      <c r="D5" s="17">
        <v>9216180</v>
      </c>
      <c r="E5" s="17">
        <v>41983023</v>
      </c>
    </row>
    <row r="6" spans="1:5" hidden="1" x14ac:dyDescent="0.15">
      <c r="A6" s="15" t="s">
        <v>22</v>
      </c>
      <c r="B6" s="17">
        <v>31988853</v>
      </c>
      <c r="C6" s="17">
        <v>1277635</v>
      </c>
      <c r="D6" s="17">
        <v>9136922</v>
      </c>
      <c r="E6" s="17">
        <v>42403410</v>
      </c>
    </row>
    <row r="7" spans="1:5" x14ac:dyDescent="0.15">
      <c r="A7" s="15" t="s">
        <v>41</v>
      </c>
      <c r="B7" s="21">
        <f>SUM(B2:B6)/5</f>
        <v>31504024.399999999</v>
      </c>
      <c r="C7" s="21">
        <f t="shared" ref="C7:E7" si="0">SUM(C2:C6)/5</f>
        <v>1328564</v>
      </c>
      <c r="D7" s="21">
        <f t="shared" si="0"/>
        <v>9013789.5999999996</v>
      </c>
      <c r="E7" s="21">
        <f t="shared" si="0"/>
        <v>41846378</v>
      </c>
    </row>
  </sheetData>
  <pageMargins left="0.7" right="0.7" top="0.75" bottom="0.75" header="0.3" footer="0.3"/>
  <pageSetup paperSize="9" orientation="portrait" horizontalDpi="0" verticalDpi="0"/>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AD8B6-9001-E44C-9BFD-B7F1D1BC9E80}">
  <dimension ref="A1:K6"/>
  <sheetViews>
    <sheetView zoomScale="102" workbookViewId="0">
      <selection activeCell="C4" sqref="C4"/>
    </sheetView>
  </sheetViews>
  <sheetFormatPr baseColWidth="10" defaultRowHeight="13" x14ac:dyDescent="0.15"/>
  <cols>
    <col min="1" max="1" width="7.6640625" bestFit="1" customWidth="1"/>
    <col min="2" max="2" width="13.83203125" bestFit="1" customWidth="1"/>
    <col min="3" max="3" width="15.83203125" bestFit="1" customWidth="1"/>
    <col min="4" max="4" width="9.83203125" bestFit="1" customWidth="1"/>
    <col min="5" max="5" width="11.1640625" bestFit="1" customWidth="1"/>
    <col min="6" max="6" width="20.1640625" bestFit="1" customWidth="1"/>
    <col min="7" max="7" width="18" bestFit="1" customWidth="1"/>
    <col min="8" max="8" width="14" bestFit="1" customWidth="1"/>
    <col min="9" max="9" width="15.33203125" bestFit="1" customWidth="1"/>
    <col min="10" max="10" width="28.1640625" bestFit="1" customWidth="1"/>
    <col min="11" max="11" width="30.33203125" bestFit="1" customWidth="1"/>
  </cols>
  <sheetData>
    <row r="1" spans="1:11" x14ac:dyDescent="0.15">
      <c r="A1" t="s">
        <v>30</v>
      </c>
      <c r="B1" t="s">
        <v>12</v>
      </c>
      <c r="C1" t="s">
        <v>13</v>
      </c>
      <c r="D1" t="s">
        <v>14</v>
      </c>
      <c r="E1" t="s">
        <v>15</v>
      </c>
      <c r="F1" t="s">
        <v>31</v>
      </c>
      <c r="G1" t="s">
        <v>32</v>
      </c>
      <c r="H1" t="s">
        <v>33</v>
      </c>
      <c r="I1" t="s">
        <v>34</v>
      </c>
      <c r="J1" t="s">
        <v>39</v>
      </c>
      <c r="K1" t="s">
        <v>40</v>
      </c>
    </row>
    <row r="2" spans="1:11" x14ac:dyDescent="0.15">
      <c r="A2" t="s">
        <v>18</v>
      </c>
      <c r="B2">
        <v>31530856</v>
      </c>
      <c r="C2">
        <v>1246657</v>
      </c>
      <c r="D2">
        <v>32777513</v>
      </c>
      <c r="E2">
        <v>8754207</v>
      </c>
      <c r="F2" s="19">
        <v>3.8033910626471303E-2</v>
      </c>
      <c r="G2" s="19">
        <v>0.75919937821019701</v>
      </c>
      <c r="H2" s="19">
        <v>0.78921636281858798</v>
      </c>
      <c r="I2" s="19">
        <v>0.21078363718141202</v>
      </c>
      <c r="J2" s="19">
        <v>0.96196608937352879</v>
      </c>
      <c r="K2" s="19">
        <v>3.8033910626471261E-2</v>
      </c>
    </row>
    <row r="3" spans="1:11" x14ac:dyDescent="0.15">
      <c r="A3" t="s">
        <v>19</v>
      </c>
      <c r="B3">
        <v>31445488</v>
      </c>
      <c r="C3">
        <v>1329202</v>
      </c>
      <c r="D3">
        <v>32774690</v>
      </c>
      <c r="E3">
        <v>8825012</v>
      </c>
      <c r="F3" s="19">
        <v>4.0555745912470902E-2</v>
      </c>
      <c r="G3" s="19">
        <v>0.75590656875378603</v>
      </c>
      <c r="H3" s="19">
        <v>0.78785876879598804</v>
      </c>
      <c r="I3" s="19">
        <v>0.21214123120401196</v>
      </c>
      <c r="J3" s="19">
        <v>0.95944425408752909</v>
      </c>
      <c r="K3" s="19">
        <v>4.0555745912470874E-2</v>
      </c>
    </row>
    <row r="4" spans="1:11" x14ac:dyDescent="0.15">
      <c r="A4" t="s">
        <v>20</v>
      </c>
      <c r="B4">
        <v>31022539</v>
      </c>
      <c r="C4">
        <v>1554869</v>
      </c>
      <c r="D4">
        <v>32577408</v>
      </c>
      <c r="E4">
        <v>9136627</v>
      </c>
      <c r="F4" s="19">
        <v>4.7728444202804601E-2</v>
      </c>
      <c r="G4" s="19">
        <v>0.74369547323820395</v>
      </c>
      <c r="H4" s="19">
        <v>0.78096995411736103</v>
      </c>
      <c r="I4" s="19">
        <v>0.21903004588263897</v>
      </c>
      <c r="J4" s="19">
        <v>0.95227155579719536</v>
      </c>
      <c r="K4" s="19">
        <v>4.7728444202804594E-2</v>
      </c>
    </row>
    <row r="5" spans="1:11" x14ac:dyDescent="0.15">
      <c r="A5" t="s">
        <v>21</v>
      </c>
      <c r="B5">
        <v>31532386</v>
      </c>
      <c r="C5">
        <v>1234457</v>
      </c>
      <c r="D5">
        <v>32766843</v>
      </c>
      <c r="E5">
        <v>9216180</v>
      </c>
      <c r="F5" s="19">
        <v>3.7673968163487698E-2</v>
      </c>
      <c r="G5" s="19">
        <v>0.75107469035757601</v>
      </c>
      <c r="H5" s="19">
        <v>0.78047840909407595</v>
      </c>
      <c r="I5" s="19">
        <v>0.21952159090592405</v>
      </c>
      <c r="J5" s="19">
        <v>0.96232603183651233</v>
      </c>
      <c r="K5" s="19">
        <v>3.7673968163487705E-2</v>
      </c>
    </row>
    <row r="6" spans="1:11" x14ac:dyDescent="0.15">
      <c r="A6" t="s">
        <v>22</v>
      </c>
      <c r="B6">
        <v>31988853</v>
      </c>
      <c r="C6">
        <v>1277635</v>
      </c>
      <c r="D6">
        <v>33266488</v>
      </c>
      <c r="E6">
        <v>9136922</v>
      </c>
      <c r="F6" s="19">
        <v>3.84060679925095E-2</v>
      </c>
      <c r="G6" s="19">
        <v>0.75439340845464997</v>
      </c>
      <c r="H6" s="19">
        <v>0.78452388616858904</v>
      </c>
      <c r="I6" s="19">
        <v>0.21547611383141096</v>
      </c>
      <c r="J6" s="19">
        <v>0.96159393200749055</v>
      </c>
      <c r="K6" s="19">
        <v>3.8406067992509459E-2</v>
      </c>
    </row>
  </sheetData>
  <pageMargins left="0.7" right="0.7" top="0.75" bottom="0.75" header="0.3" footer="0.3"/>
  <pageSetup paperSize="9" orientation="portrait" horizontalDpi="0" verticalDpi="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72C4D-2D9D-1C4C-A5D8-1FAFB4B4656A}">
  <dimension ref="A1:K26"/>
  <sheetViews>
    <sheetView topLeftCell="B1" zoomScale="164" workbookViewId="0">
      <selection activeCell="J10" sqref="J10"/>
    </sheetView>
  </sheetViews>
  <sheetFormatPr baseColWidth="10" defaultRowHeight="13" x14ac:dyDescent="0.15"/>
  <cols>
    <col min="1" max="1" width="12.33203125" bestFit="1" customWidth="1"/>
    <col min="2" max="2" width="10.6640625" bestFit="1" customWidth="1"/>
    <col min="3" max="3" width="7.6640625" bestFit="1" customWidth="1"/>
    <col min="4" max="4" width="14" bestFit="1" customWidth="1"/>
    <col min="5" max="5" width="16" bestFit="1" customWidth="1"/>
    <col min="6" max="6" width="11.1640625" bestFit="1" customWidth="1"/>
    <col min="7" max="7" width="11.33203125" bestFit="1" customWidth="1"/>
    <col min="8" max="8" width="16.1640625" customWidth="1"/>
    <col min="9" max="9" width="18" bestFit="1" customWidth="1"/>
    <col min="10" max="10" width="14" bestFit="1" customWidth="1"/>
    <col min="11" max="11" width="15.33203125" bestFit="1" customWidth="1"/>
    <col min="12" max="12" width="7.6640625" bestFit="1" customWidth="1"/>
    <col min="13" max="13" width="9.1640625" bestFit="1" customWidth="1"/>
  </cols>
  <sheetData>
    <row r="1" spans="1:11" x14ac:dyDescent="0.15">
      <c r="A1" t="s">
        <v>27</v>
      </c>
      <c r="B1" t="s">
        <v>29</v>
      </c>
      <c r="C1" t="s">
        <v>30</v>
      </c>
      <c r="D1" t="s">
        <v>12</v>
      </c>
      <c r="E1" t="s">
        <v>13</v>
      </c>
      <c r="F1" t="s">
        <v>14</v>
      </c>
      <c r="G1" t="s">
        <v>15</v>
      </c>
      <c r="H1" t="s">
        <v>32</v>
      </c>
      <c r="I1" t="s">
        <v>31</v>
      </c>
      <c r="J1" t="s">
        <v>33</v>
      </c>
      <c r="K1" t="s">
        <v>34</v>
      </c>
    </row>
    <row r="2" spans="1:11" x14ac:dyDescent="0.15">
      <c r="A2" s="15" t="s">
        <v>6</v>
      </c>
      <c r="B2" s="15" t="s">
        <v>16</v>
      </c>
      <c r="C2" s="15" t="s">
        <v>18</v>
      </c>
      <c r="D2" s="17">
        <v>344875</v>
      </c>
      <c r="E2" s="17">
        <v>69118</v>
      </c>
      <c r="F2" s="17">
        <v>413993</v>
      </c>
      <c r="G2" s="17">
        <v>1003697</v>
      </c>
      <c r="H2" s="16">
        <v>0.243265452955159</v>
      </c>
      <c r="I2" s="16">
        <v>0.16695451372366199</v>
      </c>
      <c r="J2" s="16">
        <v>0.29201941186013902</v>
      </c>
      <c r="K2" s="16">
        <v>0.70798058813986098</v>
      </c>
    </row>
    <row r="3" spans="1:11" x14ac:dyDescent="0.15">
      <c r="A3" s="15" t="s">
        <v>7</v>
      </c>
      <c r="B3" s="15" t="s">
        <v>16</v>
      </c>
      <c r="C3" s="15" t="s">
        <v>18</v>
      </c>
      <c r="D3" s="17">
        <v>3430284</v>
      </c>
      <c r="E3" s="17">
        <v>355408</v>
      </c>
      <c r="F3" s="17">
        <v>3785692</v>
      </c>
      <c r="G3" s="17">
        <v>1807920</v>
      </c>
      <c r="H3" s="16">
        <v>0.61325025761529395</v>
      </c>
      <c r="I3" s="16">
        <v>9.3881911153892106E-2</v>
      </c>
      <c r="J3" s="16">
        <v>0.67678845082569195</v>
      </c>
      <c r="K3" s="16">
        <v>0.323211549174308</v>
      </c>
    </row>
    <row r="4" spans="1:11" x14ac:dyDescent="0.15">
      <c r="A4" s="15" t="s">
        <v>8</v>
      </c>
      <c r="B4" s="15" t="s">
        <v>16</v>
      </c>
      <c r="C4" s="15" t="s">
        <v>18</v>
      </c>
      <c r="D4" s="17">
        <v>7514942</v>
      </c>
      <c r="E4" s="17">
        <v>247633</v>
      </c>
      <c r="F4" s="17">
        <v>7762575</v>
      </c>
      <c r="G4" s="17">
        <v>1140514</v>
      </c>
      <c r="H4" s="16">
        <v>0.84408254258718496</v>
      </c>
      <c r="I4" s="16">
        <v>3.1900883405313302E-2</v>
      </c>
      <c r="J4" s="16">
        <v>0.871896821429057</v>
      </c>
      <c r="K4" s="16">
        <v>0.128103178570943</v>
      </c>
    </row>
    <row r="5" spans="1:11" x14ac:dyDescent="0.15">
      <c r="A5" s="15" t="s">
        <v>9</v>
      </c>
      <c r="B5" s="15" t="s">
        <v>16</v>
      </c>
      <c r="C5" s="15" t="s">
        <v>18</v>
      </c>
      <c r="D5" s="17">
        <v>10999137</v>
      </c>
      <c r="E5" s="17">
        <v>304832</v>
      </c>
      <c r="F5" s="17">
        <v>11303969</v>
      </c>
      <c r="G5" s="17">
        <v>1588173</v>
      </c>
      <c r="H5" s="16">
        <v>0.85316598281340705</v>
      </c>
      <c r="I5" s="16">
        <v>2.69668113916448E-2</v>
      </c>
      <c r="J5" s="16">
        <v>0.87681077357044301</v>
      </c>
      <c r="K5" s="16">
        <v>0.123189226429557</v>
      </c>
    </row>
    <row r="6" spans="1:11" x14ac:dyDescent="0.15">
      <c r="A6" s="15" t="s">
        <v>10</v>
      </c>
      <c r="B6" s="15" t="s">
        <v>16</v>
      </c>
      <c r="C6" s="15" t="s">
        <v>18</v>
      </c>
      <c r="D6" s="17">
        <v>9241618</v>
      </c>
      <c r="E6" s="17">
        <v>269666</v>
      </c>
      <c r="F6" s="17">
        <v>9511284</v>
      </c>
      <c r="G6" s="17">
        <v>3213903</v>
      </c>
      <c r="H6" s="16">
        <v>0.726246144752136</v>
      </c>
      <c r="I6" s="16">
        <v>2.83522182704249E-2</v>
      </c>
      <c r="J6" s="16">
        <v>0.74743766044459703</v>
      </c>
      <c r="K6" s="16">
        <v>0.25256233955540303</v>
      </c>
    </row>
    <row r="7" spans="1:11" x14ac:dyDescent="0.15">
      <c r="A7" s="15" t="s">
        <v>6</v>
      </c>
      <c r="B7" s="15" t="s">
        <v>16</v>
      </c>
      <c r="C7" s="15" t="s">
        <v>19</v>
      </c>
      <c r="D7" s="17">
        <v>321151</v>
      </c>
      <c r="E7" s="17">
        <v>105004</v>
      </c>
      <c r="F7" s="17">
        <v>426155</v>
      </c>
      <c r="G7" s="17">
        <v>1026176</v>
      </c>
      <c r="H7" s="16">
        <v>0.22112796600774901</v>
      </c>
      <c r="I7" s="16">
        <v>0.24639861083408601</v>
      </c>
      <c r="J7" s="16">
        <v>0.29342828873032401</v>
      </c>
      <c r="K7" s="16">
        <v>0.70657171126967599</v>
      </c>
    </row>
    <row r="8" spans="1:11" x14ac:dyDescent="0.15">
      <c r="A8" s="15" t="s">
        <v>7</v>
      </c>
      <c r="B8" s="15" t="s">
        <v>16</v>
      </c>
      <c r="C8" s="15" t="s">
        <v>19</v>
      </c>
      <c r="D8" s="17">
        <v>3393608</v>
      </c>
      <c r="E8" s="17">
        <v>384335</v>
      </c>
      <c r="F8" s="17">
        <v>3777943</v>
      </c>
      <c r="G8" s="17">
        <v>1727854</v>
      </c>
      <c r="H8" s="16">
        <v>0.61636998240218399</v>
      </c>
      <c r="I8" s="16">
        <v>0.101731286046401</v>
      </c>
      <c r="J8" s="16">
        <v>0.686175498297522</v>
      </c>
      <c r="K8" s="16">
        <v>0.313824501702478</v>
      </c>
    </row>
    <row r="9" spans="1:11" x14ac:dyDescent="0.15">
      <c r="A9" s="15" t="s">
        <v>8</v>
      </c>
      <c r="B9" s="15" t="s">
        <v>16</v>
      </c>
      <c r="C9" s="15" t="s">
        <v>19</v>
      </c>
      <c r="D9" s="17">
        <v>7515616</v>
      </c>
      <c r="E9" s="17">
        <v>260267</v>
      </c>
      <c r="F9" s="17">
        <v>7775883</v>
      </c>
      <c r="G9" s="17">
        <v>1120043</v>
      </c>
      <c r="H9" s="16">
        <v>0.844837962905717</v>
      </c>
      <c r="I9" s="16">
        <v>3.3471054026918898E-2</v>
      </c>
      <c r="J9" s="16">
        <v>0.87409483846875502</v>
      </c>
      <c r="K9" s="16">
        <v>0.12590516153124501</v>
      </c>
    </row>
    <row r="10" spans="1:11" x14ac:dyDescent="0.15">
      <c r="A10" s="15" t="s">
        <v>9</v>
      </c>
      <c r="B10" s="15" t="s">
        <v>16</v>
      </c>
      <c r="C10" s="15" t="s">
        <v>19</v>
      </c>
      <c r="D10" s="17">
        <v>10916453</v>
      </c>
      <c r="E10" s="17">
        <v>305769</v>
      </c>
      <c r="F10" s="17">
        <v>11222222</v>
      </c>
      <c r="G10" s="17">
        <v>1635859</v>
      </c>
      <c r="H10" s="16">
        <v>0.84899550718338102</v>
      </c>
      <c r="I10" s="16">
        <v>2.7246743113796899E-2</v>
      </c>
      <c r="J10" s="16">
        <v>0.872775805347625</v>
      </c>
      <c r="K10" s="16">
        <v>0.127224194652375</v>
      </c>
    </row>
    <row r="11" spans="1:11" x14ac:dyDescent="0.15">
      <c r="A11" s="15" t="s">
        <v>10</v>
      </c>
      <c r="B11" s="15" t="s">
        <v>16</v>
      </c>
      <c r="C11" s="15" t="s">
        <v>19</v>
      </c>
      <c r="D11" s="17">
        <v>9298660</v>
      </c>
      <c r="E11" s="17">
        <v>273827</v>
      </c>
      <c r="F11" s="17">
        <v>9572487</v>
      </c>
      <c r="G11" s="17">
        <v>3315080</v>
      </c>
      <c r="H11" s="16">
        <v>0.72152175814100505</v>
      </c>
      <c r="I11" s="16">
        <v>2.8605627774683801E-2</v>
      </c>
      <c r="J11" s="16">
        <v>0.74276913555522195</v>
      </c>
      <c r="K11" s="16">
        <v>0.257230864444778</v>
      </c>
    </row>
    <row r="12" spans="1:11" x14ac:dyDescent="0.15">
      <c r="A12" s="15" t="s">
        <v>6</v>
      </c>
      <c r="B12" s="15" t="s">
        <v>16</v>
      </c>
      <c r="C12" s="15" t="s">
        <v>20</v>
      </c>
      <c r="D12" s="17">
        <v>200731</v>
      </c>
      <c r="E12" s="17">
        <v>85614</v>
      </c>
      <c r="F12" s="17">
        <v>286345</v>
      </c>
      <c r="G12" s="17">
        <v>1199061</v>
      </c>
      <c r="H12" s="16">
        <v>0.135135444450877</v>
      </c>
      <c r="I12" s="16">
        <v>0.29898898182262701</v>
      </c>
      <c r="J12" s="16">
        <v>0.192772211772404</v>
      </c>
      <c r="K12" s="16">
        <v>0.807227788227596</v>
      </c>
    </row>
    <row r="13" spans="1:11" x14ac:dyDescent="0.15">
      <c r="A13" s="15" t="s">
        <v>7</v>
      </c>
      <c r="B13" s="15" t="s">
        <v>16</v>
      </c>
      <c r="C13" s="15" t="s">
        <v>20</v>
      </c>
      <c r="D13" s="17">
        <v>3242052</v>
      </c>
      <c r="E13" s="17">
        <v>395925</v>
      </c>
      <c r="F13" s="17">
        <v>3637977</v>
      </c>
      <c r="G13" s="17">
        <v>1833127</v>
      </c>
      <c r="H13" s="16">
        <v>0.59257729335797704</v>
      </c>
      <c r="I13" s="16">
        <v>0.10883108936642499</v>
      </c>
      <c r="J13" s="16">
        <v>0.66494385776618403</v>
      </c>
      <c r="K13" s="16">
        <v>0.33505614223381602</v>
      </c>
    </row>
    <row r="14" spans="1:11" x14ac:dyDescent="0.15">
      <c r="A14" s="15" t="s">
        <v>8</v>
      </c>
      <c r="B14" s="15" t="s">
        <v>16</v>
      </c>
      <c r="C14" s="15" t="s">
        <v>20</v>
      </c>
      <c r="D14" s="17">
        <v>7494905</v>
      </c>
      <c r="E14" s="17">
        <v>311719</v>
      </c>
      <c r="F14" s="17">
        <v>7806624</v>
      </c>
      <c r="G14" s="17">
        <v>1071479</v>
      </c>
      <c r="H14" s="16">
        <v>0.84420117676039597</v>
      </c>
      <c r="I14" s="16">
        <v>3.9930064519567002E-2</v>
      </c>
      <c r="J14" s="16">
        <v>0.87931216837651005</v>
      </c>
      <c r="K14" s="16">
        <v>0.12068783162349001</v>
      </c>
    </row>
    <row r="15" spans="1:11" x14ac:dyDescent="0.15">
      <c r="A15" s="15" t="s">
        <v>9</v>
      </c>
      <c r="B15" s="15" t="s">
        <v>16</v>
      </c>
      <c r="C15" s="15" t="s">
        <v>20</v>
      </c>
      <c r="D15" s="17">
        <v>10858987</v>
      </c>
      <c r="E15" s="17">
        <v>388675</v>
      </c>
      <c r="F15" s="17">
        <v>11247662</v>
      </c>
      <c r="G15" s="17">
        <v>1573802</v>
      </c>
      <c r="H15" s="16">
        <v>0.84693814996477801</v>
      </c>
      <c r="I15" s="16">
        <v>3.4556070408232401E-2</v>
      </c>
      <c r="J15" s="16">
        <v>0.87725255087874499</v>
      </c>
      <c r="K15" s="16">
        <v>0.122747449121255</v>
      </c>
    </row>
    <row r="16" spans="1:11" x14ac:dyDescent="0.15">
      <c r="A16" s="15" t="s">
        <v>10</v>
      </c>
      <c r="B16" s="15" t="s">
        <v>16</v>
      </c>
      <c r="C16" s="15" t="s">
        <v>20</v>
      </c>
      <c r="D16" s="17">
        <v>9225864</v>
      </c>
      <c r="E16" s="17">
        <v>372936</v>
      </c>
      <c r="F16" s="17">
        <v>9598800</v>
      </c>
      <c r="G16" s="17">
        <v>3459158</v>
      </c>
      <c r="H16" s="16">
        <v>0.70653190950683098</v>
      </c>
      <c r="I16" s="16">
        <v>3.8852356544568097E-2</v>
      </c>
      <c r="J16" s="16">
        <v>0.73509196460886195</v>
      </c>
      <c r="K16" s="16">
        <v>0.264908035391138</v>
      </c>
    </row>
    <row r="17" spans="1:11" x14ac:dyDescent="0.15">
      <c r="A17" s="15" t="s">
        <v>6</v>
      </c>
      <c r="B17" s="15" t="s">
        <v>16</v>
      </c>
      <c r="C17" s="15" t="s">
        <v>21</v>
      </c>
      <c r="D17" s="17">
        <v>344896</v>
      </c>
      <c r="E17" s="17">
        <v>91738</v>
      </c>
      <c r="F17" s="17">
        <v>436634</v>
      </c>
      <c r="G17" s="17">
        <v>1070809</v>
      </c>
      <c r="H17" s="16">
        <v>0.22879538397140101</v>
      </c>
      <c r="I17" s="16">
        <v>0.21010274051035899</v>
      </c>
      <c r="J17" s="16">
        <v>0.28965207971379398</v>
      </c>
      <c r="K17" s="16">
        <v>0.71034792028620597</v>
      </c>
    </row>
    <row r="18" spans="1:11" x14ac:dyDescent="0.15">
      <c r="A18" s="15" t="s">
        <v>7</v>
      </c>
      <c r="B18" s="15" t="s">
        <v>16</v>
      </c>
      <c r="C18" s="15" t="s">
        <v>21</v>
      </c>
      <c r="D18" s="17">
        <v>3439732</v>
      </c>
      <c r="E18" s="17">
        <v>313230</v>
      </c>
      <c r="F18" s="17">
        <v>3752962</v>
      </c>
      <c r="G18" s="17">
        <v>1759951</v>
      </c>
      <c r="H18" s="16">
        <v>0.62394091834933696</v>
      </c>
      <c r="I18" s="16">
        <v>8.3462076088167206E-2</v>
      </c>
      <c r="J18" s="16">
        <v>0.68075843025275395</v>
      </c>
      <c r="K18" s="16">
        <v>0.31924156974724599</v>
      </c>
    </row>
    <row r="19" spans="1:11" x14ac:dyDescent="0.15">
      <c r="A19" s="15" t="s">
        <v>8</v>
      </c>
      <c r="B19" s="15" t="s">
        <v>16</v>
      </c>
      <c r="C19" s="15" t="s">
        <v>21</v>
      </c>
      <c r="D19" s="17">
        <v>7487048</v>
      </c>
      <c r="E19" s="17">
        <v>261978</v>
      </c>
      <c r="F19" s="17">
        <v>7749026</v>
      </c>
      <c r="G19" s="17">
        <v>1179024</v>
      </c>
      <c r="H19" s="16">
        <v>0.83859835014364803</v>
      </c>
      <c r="I19" s="16">
        <v>3.3807861788049197E-2</v>
      </c>
      <c r="J19" s="16">
        <v>0.86794159978942798</v>
      </c>
      <c r="K19" s="16">
        <v>0.132058400210572</v>
      </c>
    </row>
    <row r="20" spans="1:11" x14ac:dyDescent="0.15">
      <c r="A20" s="15" t="s">
        <v>9</v>
      </c>
      <c r="B20" s="15" t="s">
        <v>16</v>
      </c>
      <c r="C20" s="15" t="s">
        <v>21</v>
      </c>
      <c r="D20" s="17">
        <v>10944865</v>
      </c>
      <c r="E20" s="17">
        <v>286653</v>
      </c>
      <c r="F20" s="17">
        <v>11231518</v>
      </c>
      <c r="G20" s="17">
        <v>1625041</v>
      </c>
      <c r="H20" s="16">
        <v>0.85130593652625097</v>
      </c>
      <c r="I20" s="16">
        <v>2.5522195664023299E-2</v>
      </c>
      <c r="J20" s="16">
        <v>0.87360218235688103</v>
      </c>
      <c r="K20" s="16">
        <v>0.126397817643119</v>
      </c>
    </row>
    <row r="21" spans="1:11" x14ac:dyDescent="0.15">
      <c r="A21" s="15" t="s">
        <v>10</v>
      </c>
      <c r="B21" s="15" t="s">
        <v>16</v>
      </c>
      <c r="C21" s="15" t="s">
        <v>21</v>
      </c>
      <c r="D21" s="17">
        <v>9315845</v>
      </c>
      <c r="E21" s="17">
        <v>280858</v>
      </c>
      <c r="F21" s="17">
        <v>9596703</v>
      </c>
      <c r="G21" s="17">
        <v>3581355</v>
      </c>
      <c r="H21" s="16">
        <v>0.70692092871347201</v>
      </c>
      <c r="I21" s="16">
        <v>2.9266092740392199E-2</v>
      </c>
      <c r="J21" s="16">
        <v>0.72823347719368103</v>
      </c>
      <c r="K21" s="16">
        <v>0.27176652280631902</v>
      </c>
    </row>
    <row r="22" spans="1:11" x14ac:dyDescent="0.15">
      <c r="A22" s="15" t="s">
        <v>6</v>
      </c>
      <c r="B22" s="15" t="s">
        <v>16</v>
      </c>
      <c r="C22" s="15" t="s">
        <v>22</v>
      </c>
      <c r="D22" s="17">
        <v>451497</v>
      </c>
      <c r="E22" s="17">
        <v>67407</v>
      </c>
      <c r="F22" s="17">
        <v>518904</v>
      </c>
      <c r="G22" s="17">
        <v>1015611</v>
      </c>
      <c r="H22" s="16">
        <v>0.294227817909893</v>
      </c>
      <c r="I22" s="16">
        <v>0.12990264095092699</v>
      </c>
      <c r="J22" s="16">
        <v>0.33815505224777898</v>
      </c>
      <c r="K22" s="16">
        <v>0.66184494775222102</v>
      </c>
    </row>
    <row r="23" spans="1:11" x14ac:dyDescent="0.15">
      <c r="A23" s="15" t="s">
        <v>7</v>
      </c>
      <c r="B23" s="15" t="s">
        <v>16</v>
      </c>
      <c r="C23" s="15" t="s">
        <v>22</v>
      </c>
      <c r="D23" s="17">
        <v>3427135</v>
      </c>
      <c r="E23" s="17">
        <v>369744</v>
      </c>
      <c r="F23" s="17">
        <v>3796879</v>
      </c>
      <c r="G23" s="17">
        <v>1811344</v>
      </c>
      <c r="H23" s="16">
        <v>0.61109107109328598</v>
      </c>
      <c r="I23" s="16">
        <v>9.7381033211750997E-2</v>
      </c>
      <c r="J23" s="16">
        <v>0.67701997584618201</v>
      </c>
      <c r="K23" s="16">
        <v>0.32298002415381799</v>
      </c>
    </row>
    <row r="24" spans="1:11" x14ac:dyDescent="0.15">
      <c r="A24" s="15" t="s">
        <v>8</v>
      </c>
      <c r="B24" s="15" t="s">
        <v>16</v>
      </c>
      <c r="C24" s="15" t="s">
        <v>22</v>
      </c>
      <c r="D24" s="17">
        <v>7638966</v>
      </c>
      <c r="E24" s="17">
        <v>283660</v>
      </c>
      <c r="F24" s="17">
        <v>7922626</v>
      </c>
      <c r="G24" s="17">
        <v>1091623</v>
      </c>
      <c r="H24" s="16">
        <v>0.84743232630915799</v>
      </c>
      <c r="I24" s="16">
        <v>3.5803785260089302E-2</v>
      </c>
      <c r="J24" s="16">
        <v>0.87890028331811099</v>
      </c>
      <c r="K24" s="16">
        <v>0.121099716681889</v>
      </c>
    </row>
    <row r="25" spans="1:11" x14ac:dyDescent="0.15">
      <c r="A25" s="15" t="s">
        <v>9</v>
      </c>
      <c r="B25" s="15" t="s">
        <v>16</v>
      </c>
      <c r="C25" s="15" t="s">
        <v>22</v>
      </c>
      <c r="D25" s="17">
        <v>11095712</v>
      </c>
      <c r="E25" s="17">
        <v>277244</v>
      </c>
      <c r="F25" s="17">
        <v>11372956</v>
      </c>
      <c r="G25" s="17">
        <v>1626306</v>
      </c>
      <c r="H25" s="16">
        <v>0.85356476390736602</v>
      </c>
      <c r="I25" s="16">
        <v>2.4377479346618401E-2</v>
      </c>
      <c r="J25" s="16">
        <v>0.87489243620137802</v>
      </c>
      <c r="K25" s="16">
        <v>0.12510756379862201</v>
      </c>
    </row>
    <row r="26" spans="1:11" x14ac:dyDescent="0.15">
      <c r="A26" s="15" t="s">
        <v>10</v>
      </c>
      <c r="B26" s="15" t="s">
        <v>16</v>
      </c>
      <c r="C26" s="15" t="s">
        <v>22</v>
      </c>
      <c r="D26" s="17">
        <v>9375543</v>
      </c>
      <c r="E26" s="17">
        <v>279580</v>
      </c>
      <c r="F26" s="17">
        <v>9655123</v>
      </c>
      <c r="G26" s="17">
        <v>3592038</v>
      </c>
      <c r="H26" s="16">
        <v>0.70773979420949096</v>
      </c>
      <c r="I26" s="16">
        <v>2.89566481959888E-2</v>
      </c>
      <c r="J26" s="16">
        <v>0.72884469359132897</v>
      </c>
      <c r="K26" s="16">
        <v>0.27115530640867103</v>
      </c>
    </row>
  </sheetData>
  <phoneticPr fontId="13" type="noConversion"/>
  <pageMargins left="0.7" right="0.7" top="0.75" bottom="0.75" header="0.3" footer="0.3"/>
  <pageSetup paperSize="9"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19EA4-95DF-0E49-A0D3-A42FFCB9C134}">
  <dimension ref="A1:G8"/>
  <sheetViews>
    <sheetView tabSelected="1" topLeftCell="A9" zoomScale="233" workbookViewId="0">
      <selection activeCell="K19" sqref="K19"/>
    </sheetView>
  </sheetViews>
  <sheetFormatPr baseColWidth="10" defaultRowHeight="13" x14ac:dyDescent="0.15"/>
  <cols>
    <col min="3" max="7" width="11.1640625" bestFit="1" customWidth="1"/>
  </cols>
  <sheetData>
    <row r="1" spans="1:7" ht="14" thickBot="1" x14ac:dyDescent="0.2">
      <c r="A1" s="23" t="s">
        <v>28</v>
      </c>
      <c r="B1" s="14" t="s">
        <v>26</v>
      </c>
      <c r="C1" s="10" t="s">
        <v>18</v>
      </c>
      <c r="D1" s="10" t="s">
        <v>19</v>
      </c>
      <c r="E1" s="10" t="s">
        <v>20</v>
      </c>
      <c r="F1" s="10" t="s">
        <v>21</v>
      </c>
      <c r="G1" s="10" t="s">
        <v>22</v>
      </c>
    </row>
    <row r="2" spans="1:7" ht="14" thickTop="1" x14ac:dyDescent="0.15">
      <c r="A2" s="24" t="s">
        <v>12</v>
      </c>
      <c r="B2" s="14" t="s">
        <v>45</v>
      </c>
      <c r="C2" s="13">
        <v>344875</v>
      </c>
      <c r="D2" s="13">
        <v>321151</v>
      </c>
      <c r="E2" s="13">
        <v>200731</v>
      </c>
      <c r="F2" s="13">
        <v>344896</v>
      </c>
      <c r="G2" s="13">
        <v>451497</v>
      </c>
    </row>
    <row r="3" spans="1:7" x14ac:dyDescent="0.15">
      <c r="A3" s="25" t="s">
        <v>12</v>
      </c>
      <c r="B3" s="14" t="s">
        <v>47</v>
      </c>
      <c r="C3" s="13">
        <v>3430284</v>
      </c>
      <c r="D3" s="13">
        <v>3393608</v>
      </c>
      <c r="E3" s="13">
        <v>3242052</v>
      </c>
      <c r="F3" s="13">
        <v>3439732</v>
      </c>
      <c r="G3" s="13">
        <v>3427135</v>
      </c>
    </row>
    <row r="4" spans="1:7" x14ac:dyDescent="0.15">
      <c r="A4" s="24" t="s">
        <v>12</v>
      </c>
      <c r="B4" s="14" t="s">
        <v>48</v>
      </c>
      <c r="C4" s="13">
        <v>7514942</v>
      </c>
      <c r="D4" s="13">
        <v>7515616</v>
      </c>
      <c r="E4" s="13">
        <v>7494905</v>
      </c>
      <c r="F4" s="13">
        <v>7487048</v>
      </c>
      <c r="G4" s="13">
        <v>7638966</v>
      </c>
    </row>
    <row r="5" spans="1:7" x14ac:dyDescent="0.15">
      <c r="A5" s="25" t="s">
        <v>12</v>
      </c>
      <c r="B5" s="14" t="s">
        <v>49</v>
      </c>
      <c r="C5" s="13">
        <v>10999137</v>
      </c>
      <c r="D5" s="13">
        <v>10916453</v>
      </c>
      <c r="E5" s="13">
        <v>10858987</v>
      </c>
      <c r="F5" s="13">
        <v>10944865</v>
      </c>
      <c r="G5" s="13">
        <v>11095712</v>
      </c>
    </row>
    <row r="6" spans="1:7" x14ac:dyDescent="0.15">
      <c r="A6" s="24" t="s">
        <v>12</v>
      </c>
      <c r="B6" s="14" t="s">
        <v>50</v>
      </c>
      <c r="C6" s="13">
        <v>9241618</v>
      </c>
      <c r="D6" s="13">
        <v>9298660</v>
      </c>
      <c r="E6" s="13">
        <v>9225864</v>
      </c>
      <c r="F6" s="13">
        <v>9315845</v>
      </c>
      <c r="G6" s="13">
        <v>9375543</v>
      </c>
    </row>
    <row r="7" spans="1:7" x14ac:dyDescent="0.15">
      <c r="A7" s="25" t="s">
        <v>12</v>
      </c>
      <c r="B7" s="14" t="s">
        <v>46</v>
      </c>
      <c r="C7" s="13">
        <v>1291260</v>
      </c>
      <c r="D7" s="13">
        <v>1362233</v>
      </c>
      <c r="E7" s="13">
        <v>1285502</v>
      </c>
      <c r="F7" s="13">
        <v>1345345</v>
      </c>
      <c r="G7" s="13">
        <v>1496305</v>
      </c>
    </row>
    <row r="8" spans="1:7" x14ac:dyDescent="0.15">
      <c r="A8" s="27"/>
      <c r="B8" s="26" t="s">
        <v>23</v>
      </c>
      <c r="C8" s="12">
        <f>SUM(C2:C7)</f>
        <v>32822116</v>
      </c>
      <c r="D8" s="12">
        <f t="shared" ref="D8:G8" si="0">SUM(D2:D7)</f>
        <v>32807721</v>
      </c>
      <c r="E8" s="12">
        <f t="shared" si="0"/>
        <v>32308041</v>
      </c>
      <c r="F8" s="12">
        <f t="shared" si="0"/>
        <v>32877731</v>
      </c>
      <c r="G8" s="12">
        <f t="shared" si="0"/>
        <v>33485158</v>
      </c>
    </row>
  </sheetData>
  <pageMargins left="0.7" right="0.7" top="0.75" bottom="0.75" header="0.3" footer="0.3"/>
  <pageSetup paperSize="9" orientation="portrait" horizontalDpi="0" verticalDpi="0"/>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A968-1813-E64F-AE46-2F88B304BC72}">
  <dimension ref="A1:G8"/>
  <sheetViews>
    <sheetView zoomScale="250" workbookViewId="0">
      <selection activeCell="B1" sqref="B1"/>
    </sheetView>
  </sheetViews>
  <sheetFormatPr baseColWidth="10" defaultRowHeight="13" x14ac:dyDescent="0.15"/>
  <cols>
    <col min="2" max="2" width="12.6640625" bestFit="1" customWidth="1"/>
  </cols>
  <sheetData>
    <row r="1" spans="1:7" x14ac:dyDescent="0.15">
      <c r="A1" s="14" t="s">
        <v>26</v>
      </c>
      <c r="B1" t="s">
        <v>28</v>
      </c>
      <c r="C1" s="10" t="s">
        <v>18</v>
      </c>
      <c r="D1" s="10" t="s">
        <v>19</v>
      </c>
      <c r="E1" s="10" t="s">
        <v>20</v>
      </c>
      <c r="F1" s="10" t="s">
        <v>21</v>
      </c>
      <c r="G1" s="10" t="s">
        <v>22</v>
      </c>
    </row>
    <row r="2" spans="1:7" x14ac:dyDescent="0.15">
      <c r="A2" t="s">
        <v>6</v>
      </c>
      <c r="B2" t="s">
        <v>13</v>
      </c>
      <c r="C2" s="11">
        <v>69118</v>
      </c>
      <c r="D2" s="11">
        <v>105004</v>
      </c>
      <c r="E2" s="11">
        <v>85614</v>
      </c>
      <c r="F2" s="11">
        <v>91738</v>
      </c>
      <c r="G2" s="11">
        <v>67407</v>
      </c>
    </row>
    <row r="3" spans="1:7" x14ac:dyDescent="0.15">
      <c r="A3" t="s">
        <v>7</v>
      </c>
      <c r="B3" t="s">
        <v>13</v>
      </c>
      <c r="C3" s="11">
        <v>355408</v>
      </c>
      <c r="D3" s="11">
        <v>384335</v>
      </c>
      <c r="E3" s="11">
        <v>395925</v>
      </c>
      <c r="F3" s="11">
        <v>313230</v>
      </c>
      <c r="G3" s="11">
        <v>369744</v>
      </c>
    </row>
    <row r="4" spans="1:7" x14ac:dyDescent="0.15">
      <c r="A4" t="s">
        <v>8</v>
      </c>
      <c r="B4" t="s">
        <v>13</v>
      </c>
      <c r="C4" s="11">
        <v>247633</v>
      </c>
      <c r="D4" s="11">
        <v>260267</v>
      </c>
      <c r="E4" s="11">
        <v>311719</v>
      </c>
      <c r="F4" s="11">
        <v>261978</v>
      </c>
      <c r="G4" s="11">
        <v>283660</v>
      </c>
    </row>
    <row r="5" spans="1:7" x14ac:dyDescent="0.15">
      <c r="A5" t="s">
        <v>9</v>
      </c>
      <c r="B5" t="s">
        <v>13</v>
      </c>
      <c r="C5" s="11">
        <v>304832</v>
      </c>
      <c r="D5" s="11">
        <v>305769</v>
      </c>
      <c r="E5" s="11">
        <v>388675</v>
      </c>
      <c r="F5" s="11">
        <v>286653</v>
      </c>
      <c r="G5" s="11">
        <v>277244</v>
      </c>
    </row>
    <row r="6" spans="1:7" x14ac:dyDescent="0.15">
      <c r="A6" t="s">
        <v>10</v>
      </c>
      <c r="B6" t="s">
        <v>13</v>
      </c>
      <c r="C6" s="11">
        <v>269666</v>
      </c>
      <c r="D6" s="11">
        <v>273827</v>
      </c>
      <c r="E6" s="11">
        <v>372936</v>
      </c>
      <c r="F6" s="11">
        <v>280858</v>
      </c>
      <c r="G6" s="11">
        <v>279580</v>
      </c>
    </row>
    <row r="7" spans="1:7" x14ac:dyDescent="0.15">
      <c r="A7" t="s">
        <v>11</v>
      </c>
      <c r="B7" t="s">
        <v>13</v>
      </c>
      <c r="C7" s="11">
        <v>17198</v>
      </c>
      <c r="D7" s="11">
        <v>21497</v>
      </c>
      <c r="E7" s="11">
        <v>35663</v>
      </c>
      <c r="F7" s="11">
        <v>24879</v>
      </c>
      <c r="G7" s="11">
        <v>28139</v>
      </c>
    </row>
    <row r="8" spans="1:7" x14ac:dyDescent="0.15">
      <c r="B8" s="10" t="s">
        <v>23</v>
      </c>
      <c r="C8" s="12">
        <f>SUM(C2:C7)</f>
        <v>1263855</v>
      </c>
      <c r="D8" s="12">
        <f t="shared" ref="D8:G8" si="0">SUM(D2:D7)</f>
        <v>1350699</v>
      </c>
      <c r="E8" s="12">
        <f t="shared" si="0"/>
        <v>1590532</v>
      </c>
      <c r="F8" s="12">
        <f t="shared" si="0"/>
        <v>1259336</v>
      </c>
      <c r="G8" s="12">
        <f t="shared" si="0"/>
        <v>1305774</v>
      </c>
    </row>
  </sheetData>
  <pageMargins left="0.7" right="0.7" top="0.75" bottom="0.75" header="0.3" footer="0.3"/>
  <pageSetup paperSize="9"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4EA5-943A-E040-B78B-F2081E3E6F77}">
  <dimension ref="A1:G8"/>
  <sheetViews>
    <sheetView zoomScale="246" workbookViewId="0">
      <selection activeCell="B1" sqref="B1"/>
    </sheetView>
  </sheetViews>
  <sheetFormatPr baseColWidth="10" defaultRowHeight="13" x14ac:dyDescent="0.15"/>
  <cols>
    <col min="3" max="7" width="11.1640625" bestFit="1" customWidth="1"/>
  </cols>
  <sheetData>
    <row r="1" spans="1:7" x14ac:dyDescent="0.15">
      <c r="A1" s="14" t="s">
        <v>26</v>
      </c>
      <c r="B1" t="s">
        <v>28</v>
      </c>
      <c r="C1" s="10" t="s">
        <v>18</v>
      </c>
      <c r="D1" s="10" t="s">
        <v>19</v>
      </c>
      <c r="E1" s="10" t="s">
        <v>20</v>
      </c>
      <c r="F1" s="10" t="s">
        <v>21</v>
      </c>
      <c r="G1" s="10" t="s">
        <v>22</v>
      </c>
    </row>
    <row r="2" spans="1:7" x14ac:dyDescent="0.15">
      <c r="A2" t="s">
        <v>6</v>
      </c>
      <c r="B2" t="s">
        <v>14</v>
      </c>
      <c r="C2" s="11">
        <v>413993</v>
      </c>
      <c r="D2" s="11">
        <v>426155</v>
      </c>
      <c r="E2" s="11">
        <v>286345</v>
      </c>
      <c r="F2" s="11">
        <v>436634</v>
      </c>
      <c r="G2" s="11">
        <v>518904</v>
      </c>
    </row>
    <row r="3" spans="1:7" x14ac:dyDescent="0.15">
      <c r="A3" t="s">
        <v>7</v>
      </c>
      <c r="B3" t="s">
        <v>14</v>
      </c>
      <c r="C3" s="11">
        <v>3785692</v>
      </c>
      <c r="D3" s="11">
        <v>3777943</v>
      </c>
      <c r="E3" s="11">
        <v>3637977</v>
      </c>
      <c r="F3" s="11">
        <v>3752962</v>
      </c>
      <c r="G3" s="11">
        <v>3796879</v>
      </c>
    </row>
    <row r="4" spans="1:7" x14ac:dyDescent="0.15">
      <c r="A4" t="s">
        <v>8</v>
      </c>
      <c r="B4" t="s">
        <v>14</v>
      </c>
      <c r="C4" s="11">
        <v>7762575</v>
      </c>
      <c r="D4" s="11">
        <v>7775883</v>
      </c>
      <c r="E4" s="11">
        <v>7806624</v>
      </c>
      <c r="F4" s="11">
        <v>7749026</v>
      </c>
      <c r="G4" s="11">
        <v>7922626</v>
      </c>
    </row>
    <row r="5" spans="1:7" x14ac:dyDescent="0.15">
      <c r="A5" t="s">
        <v>9</v>
      </c>
      <c r="B5" t="s">
        <v>14</v>
      </c>
      <c r="C5" s="11">
        <v>11303969</v>
      </c>
      <c r="D5" s="11">
        <v>11222222</v>
      </c>
      <c r="E5" s="11">
        <v>11247662</v>
      </c>
      <c r="F5" s="11">
        <v>11231518</v>
      </c>
      <c r="G5" s="11">
        <v>11372956</v>
      </c>
    </row>
    <row r="6" spans="1:7" x14ac:dyDescent="0.15">
      <c r="A6" t="s">
        <v>10</v>
      </c>
      <c r="B6" t="s">
        <v>14</v>
      </c>
      <c r="C6" s="11">
        <v>9511284</v>
      </c>
      <c r="D6" s="11">
        <v>9572487</v>
      </c>
      <c r="E6" s="11">
        <v>9598800</v>
      </c>
      <c r="F6" s="11">
        <v>9596703</v>
      </c>
      <c r="G6" s="11">
        <v>9655123</v>
      </c>
    </row>
    <row r="7" spans="1:7" x14ac:dyDescent="0.15">
      <c r="A7" t="s">
        <v>11</v>
      </c>
      <c r="B7" t="s">
        <v>14</v>
      </c>
      <c r="C7" s="11">
        <v>1308458</v>
      </c>
      <c r="D7" s="11">
        <v>1383730</v>
      </c>
      <c r="E7" s="11">
        <v>1321165</v>
      </c>
      <c r="F7" s="11">
        <v>1370224</v>
      </c>
      <c r="G7" s="11">
        <v>1524444</v>
      </c>
    </row>
    <row r="8" spans="1:7" x14ac:dyDescent="0.15">
      <c r="B8" s="10" t="s">
        <v>23</v>
      </c>
      <c r="C8" s="12">
        <f>SUM(C2:C7)</f>
        <v>34085971</v>
      </c>
      <c r="D8" s="12">
        <f t="shared" ref="D8:G8" si="0">SUM(D2:D7)</f>
        <v>34158420</v>
      </c>
      <c r="E8" s="12">
        <f t="shared" si="0"/>
        <v>33898573</v>
      </c>
      <c r="F8" s="12">
        <f t="shared" si="0"/>
        <v>34137067</v>
      </c>
      <c r="G8" s="12">
        <f t="shared" si="0"/>
        <v>34790932</v>
      </c>
    </row>
  </sheetData>
  <pageMargins left="0.7" right="0.7" top="0.75" bottom="0.75" header="0.3" footer="0.3"/>
  <pageSetup paperSize="9" orientation="portrait" horizontalDpi="0" verticalDpi="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913F-B2EC-374D-A012-7549776D0E3F}">
  <dimension ref="A1:G8"/>
  <sheetViews>
    <sheetView zoomScale="234" workbookViewId="0">
      <selection activeCell="D8" sqref="D8"/>
    </sheetView>
  </sheetViews>
  <sheetFormatPr baseColWidth="10" defaultRowHeight="13" x14ac:dyDescent="0.15"/>
  <cols>
    <col min="3" max="7" width="11.1640625" bestFit="1" customWidth="1"/>
  </cols>
  <sheetData>
    <row r="1" spans="1:7" x14ac:dyDescent="0.15">
      <c r="A1" s="14" t="s">
        <v>26</v>
      </c>
      <c r="B1" t="s">
        <v>28</v>
      </c>
      <c r="C1" s="10" t="s">
        <v>18</v>
      </c>
      <c r="D1" s="10" t="s">
        <v>19</v>
      </c>
      <c r="E1" s="10" t="s">
        <v>20</v>
      </c>
      <c r="F1" s="10" t="s">
        <v>21</v>
      </c>
      <c r="G1" s="10" t="s">
        <v>22</v>
      </c>
    </row>
    <row r="2" spans="1:7" x14ac:dyDescent="0.15">
      <c r="A2" t="s">
        <v>6</v>
      </c>
      <c r="B2" t="s">
        <v>15</v>
      </c>
      <c r="C2" s="11">
        <v>1003697</v>
      </c>
      <c r="D2" s="11">
        <v>1026176</v>
      </c>
      <c r="E2" s="11">
        <v>1199061</v>
      </c>
      <c r="F2" s="11">
        <v>1070809</v>
      </c>
      <c r="G2" s="11">
        <v>1015611</v>
      </c>
    </row>
    <row r="3" spans="1:7" x14ac:dyDescent="0.15">
      <c r="A3" t="s">
        <v>7</v>
      </c>
      <c r="B3" t="s">
        <v>15</v>
      </c>
      <c r="C3" s="11">
        <v>1807920</v>
      </c>
      <c r="D3" s="11">
        <v>1727854</v>
      </c>
      <c r="E3" s="11">
        <v>1833127</v>
      </c>
      <c r="F3" s="11">
        <v>1759951</v>
      </c>
      <c r="G3" s="11">
        <v>1811344</v>
      </c>
    </row>
    <row r="4" spans="1:7" x14ac:dyDescent="0.15">
      <c r="A4" t="s">
        <v>8</v>
      </c>
      <c r="B4" t="s">
        <v>15</v>
      </c>
      <c r="C4" s="11">
        <v>1140514</v>
      </c>
      <c r="D4" s="11">
        <v>1120043</v>
      </c>
      <c r="E4" s="11">
        <v>1071479</v>
      </c>
      <c r="F4" s="11">
        <v>1179024</v>
      </c>
      <c r="G4" s="11">
        <v>1091623</v>
      </c>
    </row>
    <row r="5" spans="1:7" x14ac:dyDescent="0.15">
      <c r="A5" t="s">
        <v>9</v>
      </c>
      <c r="B5" t="s">
        <v>15</v>
      </c>
      <c r="C5" s="11">
        <v>1588173</v>
      </c>
      <c r="D5" s="11">
        <v>1635859</v>
      </c>
      <c r="E5" s="11">
        <v>1573802</v>
      </c>
      <c r="F5" s="11">
        <v>1625041</v>
      </c>
      <c r="G5" s="11">
        <v>1626306</v>
      </c>
    </row>
    <row r="6" spans="1:7" x14ac:dyDescent="0.15">
      <c r="A6" t="s">
        <v>10</v>
      </c>
      <c r="B6" t="s">
        <v>15</v>
      </c>
      <c r="C6" s="11">
        <v>3213903</v>
      </c>
      <c r="D6" s="11">
        <v>3315080</v>
      </c>
      <c r="E6" s="11">
        <v>3459158</v>
      </c>
      <c r="F6" s="11">
        <v>3581355</v>
      </c>
      <c r="G6" s="11">
        <v>3592038</v>
      </c>
    </row>
    <row r="7" spans="1:7" x14ac:dyDescent="0.15">
      <c r="A7" t="s">
        <v>11</v>
      </c>
      <c r="B7" t="s">
        <v>15</v>
      </c>
      <c r="C7" s="11">
        <v>10487706</v>
      </c>
      <c r="D7" s="11">
        <v>10544446</v>
      </c>
      <c r="E7" s="11">
        <v>10756515</v>
      </c>
      <c r="F7" s="11">
        <v>10886018</v>
      </c>
      <c r="G7" s="11">
        <v>10926031</v>
      </c>
    </row>
    <row r="8" spans="1:7" x14ac:dyDescent="0.15">
      <c r="B8" s="10" t="s">
        <v>24</v>
      </c>
      <c r="C8" s="12">
        <f>SUM(C2:C7)</f>
        <v>19241913</v>
      </c>
      <c r="D8" s="12">
        <f t="shared" ref="D8:G8" si="0">SUM(D2:D7)</f>
        <v>19369458</v>
      </c>
      <c r="E8" s="12">
        <f t="shared" si="0"/>
        <v>19893142</v>
      </c>
      <c r="F8" s="12">
        <f t="shared" si="0"/>
        <v>20102198</v>
      </c>
      <c r="G8" s="12">
        <f t="shared" si="0"/>
        <v>20062953</v>
      </c>
    </row>
  </sheetData>
  <pageMargins left="0.7" right="0.7" top="0.75" bottom="0.75" header="0.3" footer="0.3"/>
  <pageSetup paperSize="9" orientation="portrait" horizontalDpi="0" verticalDpi="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F1CC6-A01F-8847-988A-08519C02FA80}">
  <dimension ref="A1:H7"/>
  <sheetViews>
    <sheetView zoomScale="228" workbookViewId="0">
      <selection sqref="A1:C2"/>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A5-1A7F-B846-9022-E942521E0751}">
  <dimension ref="A1:H7"/>
  <sheetViews>
    <sheetView zoomScale="230" workbookViewId="0">
      <selection activeCell="B13" sqref="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sheetData>
  <pageMargins left="0.7" right="0.7" top="0.75" bottom="0.75" header="0.3" footer="0.3"/>
  <pageSetup paperSize="9" orientation="portrait" horizontalDpi="0" verticalDpi="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2F9-BC34-B54A-A7F6-B593B1E2D96E}">
  <dimension ref="A1:H7"/>
  <sheetViews>
    <sheetView zoomScale="220" workbookViewId="0">
      <selection activeCell="D13" sqref="D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14</v>
      </c>
      <c r="C2" t="s">
        <v>17</v>
      </c>
      <c r="D2">
        <v>29.201941186013869</v>
      </c>
      <c r="E2">
        <v>29.342828873032389</v>
      </c>
      <c r="F2">
        <v>19.277221177240431</v>
      </c>
      <c r="G2">
        <v>28.96520797137935</v>
      </c>
      <c r="H2">
        <v>33.815505224777858</v>
      </c>
    </row>
    <row r="3" spans="1:8" x14ac:dyDescent="0.15">
      <c r="A3" t="s">
        <v>7</v>
      </c>
      <c r="B3" t="s">
        <v>14</v>
      </c>
      <c r="C3" t="s">
        <v>17</v>
      </c>
      <c r="D3">
        <v>67.678845082569183</v>
      </c>
      <c r="E3">
        <v>68.617549829752164</v>
      </c>
      <c r="F3">
        <v>66.494385776618387</v>
      </c>
      <c r="G3">
        <v>68.07584302527539</v>
      </c>
      <c r="H3">
        <v>67.701997584618155</v>
      </c>
    </row>
    <row r="4" spans="1:8" x14ac:dyDescent="0.15">
      <c r="A4" t="s">
        <v>8</v>
      </c>
      <c r="B4" t="s">
        <v>14</v>
      </c>
      <c r="C4" t="s">
        <v>17</v>
      </c>
      <c r="D4">
        <v>87.189682142905681</v>
      </c>
      <c r="E4">
        <v>87.409483846875531</v>
      </c>
      <c r="F4">
        <v>87.931216837651021</v>
      </c>
      <c r="G4">
        <v>86.794159978942773</v>
      </c>
      <c r="H4">
        <v>87.890028331811109</v>
      </c>
    </row>
    <row r="5" spans="1:8" x14ac:dyDescent="0.15">
      <c r="A5" t="s">
        <v>9</v>
      </c>
      <c r="B5" t="s">
        <v>14</v>
      </c>
      <c r="C5" t="s">
        <v>17</v>
      </c>
      <c r="D5">
        <v>87.681077357044316</v>
      </c>
      <c r="E5">
        <v>87.277580534762535</v>
      </c>
      <c r="F5">
        <v>87.725255087874515</v>
      </c>
      <c r="G5">
        <v>87.360218235688109</v>
      </c>
      <c r="H5">
        <v>87.489243620137813</v>
      </c>
    </row>
    <row r="6" spans="1:8" x14ac:dyDescent="0.15">
      <c r="A6" t="s">
        <v>10</v>
      </c>
      <c r="B6" t="s">
        <v>14</v>
      </c>
      <c r="C6" t="s">
        <v>17</v>
      </c>
      <c r="D6">
        <v>74.743766044459719</v>
      </c>
      <c r="E6">
        <v>74.276913555522157</v>
      </c>
      <c r="F6">
        <v>73.509196460886145</v>
      </c>
      <c r="G6">
        <v>72.823347719368059</v>
      </c>
      <c r="H6">
        <v>72.884469359132879</v>
      </c>
    </row>
    <row r="7" spans="1:8" x14ac:dyDescent="0.15">
      <c r="A7" t="s">
        <v>11</v>
      </c>
      <c r="B7" t="s">
        <v>14</v>
      </c>
      <c r="C7" t="s">
        <v>17</v>
      </c>
      <c r="D7">
        <v>11.092233034399996</v>
      </c>
      <c r="E7">
        <v>11.600516290168756</v>
      </c>
      <c r="F7">
        <v>10.938897205423558</v>
      </c>
      <c r="G7">
        <v>11.179805359587384</v>
      </c>
      <c r="H7">
        <v>12.244062977516922</v>
      </c>
    </row>
  </sheetData>
  <pageMargins left="0.7" right="0.7" top="0.75" bottom="0.75" header="0.3" footer="0.3"/>
  <pageSetup paperSize="9" orientation="portrait" horizontalDpi="0" verticalDpi="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1A68-3CD5-7A46-8309-EFCD15E7A930}">
  <dimension ref="A1:H7"/>
  <sheetViews>
    <sheetView zoomScale="208" workbookViewId="0">
      <selection activeCell="D1" sqref="D1:H1"/>
    </sheetView>
  </sheetViews>
  <sheetFormatPr baseColWidth="10" defaultRowHeight="13" x14ac:dyDescent="0.15"/>
  <cols>
    <col min="1" max="1" width="20.66406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15</v>
      </c>
      <c r="C2" t="s">
        <v>17</v>
      </c>
      <c r="D2">
        <v>70.798058813986131</v>
      </c>
      <c r="E2">
        <v>70.657171126967611</v>
      </c>
      <c r="F2">
        <v>80.722778822759565</v>
      </c>
      <c r="G2">
        <v>71.034792028620643</v>
      </c>
      <c r="H2">
        <v>66.184494775222134</v>
      </c>
    </row>
    <row r="3" spans="1:8" x14ac:dyDescent="0.15">
      <c r="A3" t="s">
        <v>7</v>
      </c>
      <c r="B3" t="s">
        <v>15</v>
      </c>
      <c r="C3" t="s">
        <v>17</v>
      </c>
      <c r="D3">
        <v>32.321154917430817</v>
      </c>
      <c r="E3">
        <v>31.382450170247836</v>
      </c>
      <c r="F3">
        <v>33.505614223381613</v>
      </c>
      <c r="G3">
        <v>31.92415697472461</v>
      </c>
      <c r="H3">
        <v>32.298002415381845</v>
      </c>
    </row>
    <row r="4" spans="1:8" x14ac:dyDescent="0.15">
      <c r="A4" t="s">
        <v>8</v>
      </c>
      <c r="B4" t="s">
        <v>15</v>
      </c>
      <c r="C4" t="s">
        <v>17</v>
      </c>
      <c r="D4">
        <v>12.81031785709432</v>
      </c>
      <c r="E4">
        <v>12.590516153124469</v>
      </c>
      <c r="F4">
        <v>12.06878316234898</v>
      </c>
      <c r="G4">
        <v>13.205840021057227</v>
      </c>
      <c r="H4">
        <v>12.109971668188892</v>
      </c>
    </row>
    <row r="5" spans="1:8" x14ac:dyDescent="0.15">
      <c r="A5" t="s">
        <v>9</v>
      </c>
      <c r="B5" t="s">
        <v>15</v>
      </c>
      <c r="C5" t="s">
        <v>17</v>
      </c>
      <c r="D5">
        <v>12.318922642955684</v>
      </c>
      <c r="E5">
        <v>12.722419465237463</v>
      </c>
      <c r="F5">
        <v>12.274744912125485</v>
      </c>
      <c r="G5">
        <v>12.639781764311891</v>
      </c>
      <c r="H5">
        <v>12.510756379862189</v>
      </c>
    </row>
    <row r="6" spans="1:8" x14ac:dyDescent="0.15">
      <c r="A6" t="s">
        <v>10</v>
      </c>
      <c r="B6" t="s">
        <v>15</v>
      </c>
      <c r="C6" t="s">
        <v>17</v>
      </c>
      <c r="D6">
        <v>25.256233955540296</v>
      </c>
      <c r="E6">
        <v>25.723086444477843</v>
      </c>
      <c r="F6">
        <v>26.490803539113855</v>
      </c>
      <c r="G6">
        <v>27.176652280631941</v>
      </c>
      <c r="H6">
        <v>27.115530640867121</v>
      </c>
    </row>
    <row r="7" spans="1:8" x14ac:dyDescent="0.15">
      <c r="A7" t="s">
        <v>11</v>
      </c>
      <c r="B7" t="s">
        <v>15</v>
      </c>
      <c r="C7" t="s">
        <v>17</v>
      </c>
      <c r="D7">
        <v>88.907766965600004</v>
      </c>
      <c r="E7">
        <v>88.399483709831244</v>
      </c>
      <c r="F7">
        <v>89.061102794576442</v>
      </c>
      <c r="G7">
        <v>88.820194640412609</v>
      </c>
      <c r="H7">
        <v>87.755937022483081</v>
      </c>
    </row>
  </sheetData>
  <pageMargins left="0.7" right="0.7" top="0.75" bottom="0.75" header="0.3" footer="0.3"/>
  <pageSetup paperSize="9" orientation="portrait" horizontalDpi="0" verticalDpi="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87D5E-BB72-0841-A975-E23071EF9911}">
  <sheetPr>
    <pageSetUpPr fitToPage="1"/>
  </sheetPr>
  <dimension ref="A1:G15"/>
  <sheetViews>
    <sheetView zoomScale="213" workbookViewId="0">
      <selection activeCell="G17" sqref="G17"/>
    </sheetView>
  </sheetViews>
  <sheetFormatPr baseColWidth="10" defaultRowHeight="13" x14ac:dyDescent="0.15"/>
  <cols>
    <col min="1" max="1" width="10.33203125" customWidth="1"/>
    <col min="2" max="2" width="12.6640625" customWidth="1"/>
    <col min="3" max="4" width="10.1640625" customWidth="1"/>
    <col min="5" max="7" width="10.1640625" bestFit="1" customWidth="1"/>
  </cols>
  <sheetData>
    <row r="1" spans="1:7" x14ac:dyDescent="0.15">
      <c r="A1" t="s">
        <v>26</v>
      </c>
      <c r="B1" t="s">
        <v>28</v>
      </c>
      <c r="C1" t="s">
        <v>18</v>
      </c>
      <c r="D1" t="s">
        <v>19</v>
      </c>
      <c r="E1" t="s">
        <v>20</v>
      </c>
      <c r="F1" t="s">
        <v>21</v>
      </c>
      <c r="G1" t="s">
        <v>22</v>
      </c>
    </row>
    <row r="2" spans="1:7" x14ac:dyDescent="0.15">
      <c r="A2" t="s">
        <v>6</v>
      </c>
      <c r="B2" t="s">
        <v>13</v>
      </c>
      <c r="C2">
        <v>69118</v>
      </c>
      <c r="D2">
        <v>105004</v>
      </c>
      <c r="E2">
        <v>85614</v>
      </c>
      <c r="F2">
        <v>91738</v>
      </c>
      <c r="G2">
        <v>67407</v>
      </c>
    </row>
    <row r="3" spans="1:7" x14ac:dyDescent="0.15">
      <c r="A3" t="s">
        <v>7</v>
      </c>
      <c r="B3" t="s">
        <v>13</v>
      </c>
      <c r="C3">
        <v>355408</v>
      </c>
      <c r="D3">
        <v>384335</v>
      </c>
      <c r="E3">
        <v>395925</v>
      </c>
      <c r="F3">
        <v>313230</v>
      </c>
      <c r="G3">
        <v>369744</v>
      </c>
    </row>
    <row r="4" spans="1:7" x14ac:dyDescent="0.15">
      <c r="A4" t="s">
        <v>8</v>
      </c>
      <c r="B4" t="s">
        <v>13</v>
      </c>
      <c r="C4">
        <v>247633</v>
      </c>
      <c r="D4">
        <v>260267</v>
      </c>
      <c r="E4">
        <v>311719</v>
      </c>
      <c r="F4">
        <v>261978</v>
      </c>
      <c r="G4">
        <v>283660</v>
      </c>
    </row>
    <row r="5" spans="1:7" x14ac:dyDescent="0.15">
      <c r="A5" t="s">
        <v>9</v>
      </c>
      <c r="B5" t="s">
        <v>13</v>
      </c>
      <c r="C5">
        <v>304832</v>
      </c>
      <c r="D5">
        <v>305769</v>
      </c>
      <c r="E5">
        <v>388675</v>
      </c>
      <c r="F5">
        <v>286653</v>
      </c>
      <c r="G5">
        <v>277244</v>
      </c>
    </row>
    <row r="6" spans="1:7" x14ac:dyDescent="0.15">
      <c r="A6" t="s">
        <v>10</v>
      </c>
      <c r="B6" t="s">
        <v>13</v>
      </c>
      <c r="C6">
        <v>269666</v>
      </c>
      <c r="D6">
        <v>273827</v>
      </c>
      <c r="E6">
        <v>372936</v>
      </c>
      <c r="F6">
        <v>280858</v>
      </c>
      <c r="G6">
        <v>279580</v>
      </c>
    </row>
    <row r="7" spans="1:7" x14ac:dyDescent="0.15">
      <c r="A7" t="s">
        <v>11</v>
      </c>
      <c r="B7" t="s">
        <v>13</v>
      </c>
      <c r="C7">
        <v>17198</v>
      </c>
      <c r="D7">
        <v>21497</v>
      </c>
      <c r="E7">
        <v>35663</v>
      </c>
      <c r="F7">
        <v>24879</v>
      </c>
      <c r="G7">
        <v>28139</v>
      </c>
    </row>
    <row r="8" spans="1:7" x14ac:dyDescent="0.15">
      <c r="B8" t="s">
        <v>23</v>
      </c>
      <c r="C8">
        <v>1263855</v>
      </c>
      <c r="D8">
        <v>1350699</v>
      </c>
      <c r="E8">
        <v>1590532</v>
      </c>
      <c r="F8">
        <v>1259336</v>
      </c>
      <c r="G8">
        <v>1305774</v>
      </c>
    </row>
    <row r="9" spans="1:7" x14ac:dyDescent="0.15">
      <c r="A9" t="s">
        <v>6</v>
      </c>
      <c r="B9" t="s">
        <v>15</v>
      </c>
      <c r="C9">
        <v>1003697</v>
      </c>
      <c r="D9">
        <v>1026176</v>
      </c>
      <c r="E9">
        <v>1199061</v>
      </c>
      <c r="F9">
        <v>1070809</v>
      </c>
      <c r="G9">
        <v>1015611</v>
      </c>
    </row>
    <row r="10" spans="1:7" x14ac:dyDescent="0.15">
      <c r="A10" t="s">
        <v>7</v>
      </c>
      <c r="B10" t="s">
        <v>15</v>
      </c>
      <c r="C10">
        <v>1807920</v>
      </c>
      <c r="D10">
        <v>1727854</v>
      </c>
      <c r="E10">
        <v>1833127</v>
      </c>
      <c r="F10">
        <v>1759951</v>
      </c>
      <c r="G10">
        <v>1811344</v>
      </c>
    </row>
    <row r="11" spans="1:7" x14ac:dyDescent="0.15">
      <c r="A11" t="s">
        <v>8</v>
      </c>
      <c r="B11" t="s">
        <v>15</v>
      </c>
      <c r="C11">
        <v>1140514</v>
      </c>
      <c r="D11">
        <v>1120043</v>
      </c>
      <c r="E11">
        <v>1071479</v>
      </c>
      <c r="F11">
        <v>1179024</v>
      </c>
      <c r="G11">
        <v>1091623</v>
      </c>
    </row>
    <row r="12" spans="1:7" x14ac:dyDescent="0.15">
      <c r="A12" t="s">
        <v>9</v>
      </c>
      <c r="B12" t="s">
        <v>15</v>
      </c>
      <c r="C12">
        <v>1588173</v>
      </c>
      <c r="D12">
        <v>1635859</v>
      </c>
      <c r="E12">
        <v>1573802</v>
      </c>
      <c r="F12">
        <v>1625041</v>
      </c>
      <c r="G12">
        <v>1626306</v>
      </c>
    </row>
    <row r="13" spans="1:7" x14ac:dyDescent="0.15">
      <c r="A13" t="s">
        <v>10</v>
      </c>
      <c r="B13" t="s">
        <v>15</v>
      </c>
      <c r="C13">
        <v>3213903</v>
      </c>
      <c r="D13">
        <v>3315080</v>
      </c>
      <c r="E13">
        <v>3459158</v>
      </c>
      <c r="F13">
        <v>3581355</v>
      </c>
      <c r="G13">
        <v>3592038</v>
      </c>
    </row>
    <row r="14" spans="1:7" x14ac:dyDescent="0.15">
      <c r="A14" t="s">
        <v>11</v>
      </c>
      <c r="B14" t="s">
        <v>15</v>
      </c>
      <c r="C14">
        <v>10487706</v>
      </c>
      <c r="D14">
        <v>10544446</v>
      </c>
      <c r="E14">
        <v>10756515</v>
      </c>
      <c r="F14">
        <v>10886018</v>
      </c>
      <c r="G14">
        <v>10926031</v>
      </c>
    </row>
    <row r="15" spans="1:7" x14ac:dyDescent="0.15">
      <c r="B15" t="s">
        <v>24</v>
      </c>
      <c r="C15">
        <v>19241913</v>
      </c>
      <c r="D15">
        <v>19369458</v>
      </c>
      <c r="E15">
        <v>19893142</v>
      </c>
      <c r="F15">
        <v>20102198</v>
      </c>
      <c r="G15">
        <v>20062953</v>
      </c>
    </row>
  </sheetData>
  <pageMargins left="1" right="1" top="1" bottom="1" header="0.5" footer="0.5"/>
  <pageSetup paperSize="9" orientation="landscape" horizontalDpi="0" verticalDpi="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A7C1-9EB7-AA4A-850C-30F04CCAD80A}">
  <dimension ref="A1:H13"/>
  <sheetViews>
    <sheetView zoomScale="230" zoomScaleNormal="157" workbookViewId="0">
      <selection activeCell="B2" sqref="B2:B13"/>
    </sheetView>
  </sheetViews>
  <sheetFormatPr baseColWidth="10" defaultRowHeight="13" x14ac:dyDescent="0.15"/>
  <cols>
    <col min="1" max="1" width="12.33203125" bestFit="1" customWidth="1"/>
    <col min="3" max="3" width="10.6640625" bestFit="1" customWidth="1"/>
    <col min="4" max="8" width="12.1640625" bestFit="1" customWidth="1"/>
  </cols>
  <sheetData>
    <row r="1" spans="1:8" x14ac:dyDescent="0.15">
      <c r="A1" t="s">
        <v>27</v>
      </c>
      <c r="B1" t="s">
        <v>28</v>
      </c>
      <c r="C1" t="s">
        <v>29</v>
      </c>
      <c r="D1" t="s">
        <v>18</v>
      </c>
      <c r="E1" t="s">
        <v>19</v>
      </c>
      <c r="F1" t="s">
        <v>20</v>
      </c>
      <c r="G1" t="s">
        <v>21</v>
      </c>
      <c r="H1" t="s">
        <v>22</v>
      </c>
    </row>
    <row r="2" spans="1:8" x14ac:dyDescent="0.15">
      <c r="A2" t="s">
        <v>6</v>
      </c>
      <c r="B2" t="s">
        <v>12</v>
      </c>
      <c r="C2" t="s">
        <v>17</v>
      </c>
      <c r="D2">
        <v>24.326545295515945</v>
      </c>
      <c r="E2">
        <v>22.112796600774892</v>
      </c>
      <c r="F2">
        <v>13.51354444508774</v>
      </c>
      <c r="G2">
        <v>22.879538397140056</v>
      </c>
      <c r="H2">
        <v>29.422781790989337</v>
      </c>
    </row>
    <row r="3" spans="1:8" x14ac:dyDescent="0.15">
      <c r="A3" t="s">
        <v>7</v>
      </c>
      <c r="B3" t="s">
        <v>12</v>
      </c>
      <c r="C3" t="s">
        <v>17</v>
      </c>
      <c r="D3">
        <v>61.325025761529403</v>
      </c>
      <c r="E3">
        <v>61.636998240218446</v>
      </c>
      <c r="F3">
        <v>59.257729335797677</v>
      </c>
      <c r="G3">
        <v>62.394091834933725</v>
      </c>
      <c r="H3">
        <v>61.109107109328569</v>
      </c>
    </row>
    <row r="4" spans="1:8" x14ac:dyDescent="0.15">
      <c r="A4" t="s">
        <v>8</v>
      </c>
      <c r="B4" t="s">
        <v>12</v>
      </c>
      <c r="C4" t="s">
        <v>17</v>
      </c>
      <c r="D4">
        <v>84.408254258718515</v>
      </c>
      <c r="E4">
        <v>84.483796290571661</v>
      </c>
      <c r="F4">
        <v>84.420117676039581</v>
      </c>
      <c r="G4">
        <v>83.859835014364833</v>
      </c>
      <c r="H4">
        <v>84.74323263091577</v>
      </c>
    </row>
    <row r="5" spans="1:8" x14ac:dyDescent="0.15">
      <c r="A5" t="s">
        <v>9</v>
      </c>
      <c r="B5" t="s">
        <v>12</v>
      </c>
      <c r="C5" t="s">
        <v>17</v>
      </c>
      <c r="D5">
        <v>85.316598281340674</v>
      </c>
      <c r="E5">
        <v>84.899550718338148</v>
      </c>
      <c r="F5">
        <v>84.693814996477798</v>
      </c>
      <c r="G5">
        <v>85.130593652625095</v>
      </c>
      <c r="H5">
        <v>85.356476390736645</v>
      </c>
    </row>
    <row r="6" spans="1:8" x14ac:dyDescent="0.15">
      <c r="A6" t="s">
        <v>10</v>
      </c>
      <c r="B6" t="s">
        <v>12</v>
      </c>
      <c r="C6" t="s">
        <v>17</v>
      </c>
      <c r="D6">
        <v>72.624614475213605</v>
      </c>
      <c r="E6">
        <v>72.152175814100517</v>
      </c>
      <c r="F6">
        <v>70.653190950683097</v>
      </c>
      <c r="G6">
        <v>70.692092871347199</v>
      </c>
      <c r="H6">
        <v>70.773979420949132</v>
      </c>
    </row>
    <row r="7" spans="1:8" x14ac:dyDescent="0.15">
      <c r="A7" t="s">
        <v>11</v>
      </c>
      <c r="B7" t="s">
        <v>12</v>
      </c>
      <c r="C7" t="s">
        <v>17</v>
      </c>
      <c r="D7">
        <v>10.946439876556481</v>
      </c>
      <c r="E7">
        <v>11.420295944660776</v>
      </c>
      <c r="F7">
        <v>10.643616986043677</v>
      </c>
      <c r="G7">
        <v>10.976814916024017</v>
      </c>
      <c r="H7">
        <v>12.018055536033764</v>
      </c>
    </row>
    <row r="8" spans="1:8" x14ac:dyDescent="0.15">
      <c r="A8" t="s">
        <v>6</v>
      </c>
      <c r="B8" t="s">
        <v>15</v>
      </c>
      <c r="C8" t="s">
        <v>17</v>
      </c>
      <c r="D8">
        <v>70.798058813986131</v>
      </c>
      <c r="E8">
        <v>70.657171126967611</v>
      </c>
      <c r="F8">
        <v>80.722778822759565</v>
      </c>
      <c r="G8">
        <v>71.034792028620643</v>
      </c>
      <c r="H8">
        <v>66.184494775222134</v>
      </c>
    </row>
    <row r="9" spans="1:8" x14ac:dyDescent="0.15">
      <c r="A9" t="s">
        <v>7</v>
      </c>
      <c r="B9" t="s">
        <v>15</v>
      </c>
      <c r="C9" t="s">
        <v>17</v>
      </c>
      <c r="D9">
        <v>32.321154917430817</v>
      </c>
      <c r="E9">
        <v>31.382450170247836</v>
      </c>
      <c r="F9">
        <v>33.505614223381613</v>
      </c>
      <c r="G9">
        <v>31.92415697472461</v>
      </c>
      <c r="H9">
        <v>32.298002415381845</v>
      </c>
    </row>
    <row r="10" spans="1:8" x14ac:dyDescent="0.15">
      <c r="A10" t="s">
        <v>8</v>
      </c>
      <c r="B10" t="s">
        <v>15</v>
      </c>
      <c r="C10" t="s">
        <v>17</v>
      </c>
      <c r="D10">
        <v>12.81031785709432</v>
      </c>
      <c r="E10">
        <v>12.590516153124469</v>
      </c>
      <c r="F10">
        <v>12.06878316234898</v>
      </c>
      <c r="G10">
        <v>13.205840021057227</v>
      </c>
      <c r="H10">
        <v>12.109971668188892</v>
      </c>
    </row>
    <row r="11" spans="1:8" x14ac:dyDescent="0.15">
      <c r="A11" t="s">
        <v>9</v>
      </c>
      <c r="B11" t="s">
        <v>15</v>
      </c>
      <c r="C11" t="s">
        <v>17</v>
      </c>
      <c r="D11">
        <v>12.318922642955684</v>
      </c>
      <c r="E11">
        <v>12.722419465237463</v>
      </c>
      <c r="F11">
        <v>12.274744912125485</v>
      </c>
      <c r="G11">
        <v>12.639781764311891</v>
      </c>
      <c r="H11">
        <v>12.510756379862189</v>
      </c>
    </row>
    <row r="12" spans="1:8" x14ac:dyDescent="0.15">
      <c r="A12" t="s">
        <v>10</v>
      </c>
      <c r="B12" t="s">
        <v>15</v>
      </c>
      <c r="C12" t="s">
        <v>17</v>
      </c>
      <c r="D12">
        <v>25.256233955540296</v>
      </c>
      <c r="E12">
        <v>25.723086444477843</v>
      </c>
      <c r="F12">
        <v>26.490803539113855</v>
      </c>
      <c r="G12">
        <v>27.176652280631941</v>
      </c>
      <c r="H12">
        <v>27.115530640867121</v>
      </c>
    </row>
    <row r="13" spans="1:8" x14ac:dyDescent="0.15">
      <c r="A13" t="s">
        <v>11</v>
      </c>
      <c r="B13" t="s">
        <v>15</v>
      </c>
      <c r="C13" t="s">
        <v>17</v>
      </c>
      <c r="D13">
        <v>88.907766965600004</v>
      </c>
      <c r="E13">
        <v>88.399483709831244</v>
      </c>
      <c r="F13">
        <v>89.061102794576442</v>
      </c>
      <c r="G13">
        <v>88.820194640412609</v>
      </c>
      <c r="H13">
        <v>87.755937022483081</v>
      </c>
    </row>
  </sheetData>
  <pageMargins left="0.7" right="0.7" top="0.75" bottom="0.75" header="0.3" footer="0.3"/>
  <pageSetup paperSize="9" orientation="portrait" horizontalDpi="0"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1CED62-A8A7-2446-B025-CDAE5E2125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Note</vt:lpstr>
      <vt:lpstr>People</vt:lpstr>
      <vt:lpstr>Labour_Market_Stability</vt:lpstr>
      <vt:lpstr>WorkingAge_YoY</vt:lpstr>
      <vt:lpstr>Labour_Market_Structure</vt:lpstr>
      <vt:lpstr>WorkingAge_Aggregated </vt:lpstr>
      <vt:lpstr>WorkingAge_LabourIndicators</vt:lpstr>
      <vt:lpstr>Employment</vt:lpstr>
      <vt:lpstr>Unemployment</vt:lpstr>
      <vt:lpstr>Activity</vt:lpstr>
      <vt:lpstr>Inactivity</vt:lpstr>
      <vt:lpstr>Employment (%)</vt:lpstr>
      <vt:lpstr>Unemployment (%)</vt:lpstr>
      <vt:lpstr>Activity (%)</vt:lpstr>
      <vt:lpstr>Inactivity (%)</vt:lpstr>
      <vt:lpstr>Working_Age_Labour_Status_Level</vt:lpstr>
      <vt:lpstr>Working_Age_Labour_Status_Rate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Areeba Malik</cp:lastModifiedBy>
  <cp:lastPrinted>2026-02-12T15:50:14Z</cp:lastPrinted>
  <dcterms:modified xsi:type="dcterms:W3CDTF">2026-02-17T11:15:41Z</dcterms:modified>
</cp:coreProperties>
</file>