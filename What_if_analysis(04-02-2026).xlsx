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10A0BF8C-D3A0-7448-B59C-7027C9F180E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cenario - Taxpayer Coverage" sheetId="1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12" l="1"/>
  <c r="E69" i="12"/>
  <c r="D69" i="12"/>
  <c r="C69" i="12"/>
  <c r="B69" i="12"/>
  <c r="A52" i="12"/>
  <c r="F53" i="12"/>
  <c r="F55" i="12" s="1"/>
  <c r="E53" i="12"/>
  <c r="E55" i="12" s="1"/>
  <c r="D53" i="12"/>
  <c r="D55" i="12" s="1"/>
  <c r="C53" i="12"/>
  <c r="C55" i="12" s="1"/>
  <c r="B53" i="12"/>
  <c r="B55" i="12" s="1"/>
  <c r="F47" i="12"/>
  <c r="E47" i="12"/>
  <c r="D47" i="12"/>
  <c r="C47" i="12"/>
  <c r="B47" i="12"/>
  <c r="F46" i="12"/>
  <c r="E46" i="12"/>
  <c r="D46" i="12"/>
  <c r="C46" i="12"/>
  <c r="B46" i="12"/>
  <c r="C32" i="12"/>
  <c r="D32" i="12"/>
  <c r="E32" i="12"/>
  <c r="F32" i="12"/>
  <c r="C33" i="12"/>
  <c r="D33" i="12"/>
  <c r="E33" i="12"/>
  <c r="F33" i="12"/>
  <c r="C34" i="12"/>
  <c r="D34" i="12"/>
  <c r="E34" i="12"/>
  <c r="F34" i="12"/>
  <c r="C35" i="12"/>
  <c r="D35" i="12"/>
  <c r="E35" i="12"/>
  <c r="F35" i="12"/>
  <c r="C36" i="12"/>
  <c r="D36" i="12"/>
  <c r="E36" i="12"/>
  <c r="F36" i="12"/>
  <c r="C37" i="12"/>
  <c r="D37" i="12"/>
  <c r="E37" i="12"/>
  <c r="F37" i="12"/>
  <c r="C38" i="12"/>
  <c r="D38" i="12"/>
  <c r="E38" i="12"/>
  <c r="F38" i="12"/>
  <c r="C39" i="12"/>
  <c r="D39" i="12"/>
  <c r="E39" i="12"/>
  <c r="F39" i="12"/>
  <c r="C40" i="12"/>
  <c r="D40" i="12"/>
  <c r="E40" i="12"/>
  <c r="F40" i="12"/>
  <c r="B33" i="12"/>
  <c r="B34" i="12"/>
  <c r="B35" i="12"/>
  <c r="B36" i="12"/>
  <c r="B37" i="12"/>
  <c r="B38" i="12"/>
  <c r="B39" i="12"/>
  <c r="B40" i="12"/>
  <c r="B32" i="12"/>
  <c r="B27" i="12"/>
  <c r="B41" i="12" s="1"/>
  <c r="C27" i="12"/>
  <c r="C41" i="12" s="1"/>
  <c r="D27" i="12"/>
  <c r="D41" i="12" s="1"/>
  <c r="E27" i="12"/>
  <c r="E41" i="12" s="1"/>
  <c r="F27" i="12"/>
  <c r="F41" i="12" s="1"/>
  <c r="E48" i="12" l="1"/>
  <c r="C48" i="12"/>
  <c r="D48" i="12"/>
  <c r="F48" i="12"/>
  <c r="B48" i="12"/>
</calcChain>
</file>

<file path=xl/sharedStrings.xml><?xml version="1.0" encoding="utf-8"?>
<sst xmlns="http://schemas.openxmlformats.org/spreadsheetml/2006/main" count="92" uniqueCount="28">
  <si>
    <t>Population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</si>
  <si>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</si>
  <si>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</si>
  <si>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</si>
  <si>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</si>
  <si>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</si>
  <si>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</si>
  <si>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</si>
  <si>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</si>
  <si>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</si>
  <si>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Age</t>
  </si>
  <si>
    <t>2018-2019</t>
  </si>
  <si>
    <t>2019-2020</t>
  </si>
  <si>
    <t>2020-2021</t>
  </si>
  <si>
    <t>2021-2022</t>
  </si>
  <si>
    <t>2022-2023</t>
  </si>
  <si>
    <t>Total</t>
  </si>
  <si>
    <t>Annual financial year tax paying working age population for United Kingdom and single year of age</t>
  </si>
  <si>
    <t>Scenario: “What if taxpayer coverage increased?”</t>
  </si>
  <si>
    <t>Annual working age population for United Kingdom and single year of age</t>
  </si>
  <si>
    <t xml:space="preserve"> Baseline Estimates: Taxpayers as a Share of the Working-Age Population</t>
  </si>
  <si>
    <t>Taxpayer Coverage Rate (%)</t>
  </si>
  <si>
    <t>Scenario Cases</t>
  </si>
  <si>
    <t>Taxpayers (Calculated)</t>
  </si>
  <si>
    <t>Baseline Scenario Cases</t>
  </si>
  <si>
    <t>Goal Seek</t>
  </si>
  <si>
    <t>Total Taxpayers from working age population</t>
  </si>
  <si>
    <r>
      <t>Notes:</t>
    </r>
    <r>
      <rPr>
        <sz val="12"/>
        <color rgb="FF000000"/>
        <rFont val="Arial"/>
        <family val="2"/>
        <scheme val="minor"/>
      </rPr>
      <t xml:space="preserve"> We put the goal on the total of each year which to achieve it would change the cells of age group 20-24. It is done just to practice and to know how many of the age group would have to contribute to reach 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</si>
</sst>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_-;\-* #,##0_-;_-* &quot;-&quot;_-;_-@_-"/>
    <numFmt numFmtId="165" formatCode="_-* #,##0.00_-;\-* #,##0.00_-;_-* &quot;-&quot;??_-;_-@_-"/>
  </numFmts>
  <fonts count="7" x14ac:knownFonts="1">
    <font>
      <sz val="10"/>
      <color rgb="FF000000"/>
      <name val="Arial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7" fontId="1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9" fontId="5" fillId="0" borderId="0" xfId="2" applyFont="1" applyAlignment="1">
      <alignment horizontal="center"/>
    </xf>
    <xf numFmtId="9" fontId="6" fillId="0" borderId="0" xfId="2" applyFont="1" applyAlignment="1">
      <alignment horizontal="center"/>
    </xf>
    <xf numFmtId="165" fontId="0" fillId="0" borderId="1" xfId="1" applyFont="1" applyBorder="1"/>
    <xf numFmtId="0" fontId="6" fillId="0" borderId="0" xfId="0" applyFont="1" applyAlignment="1">
      <alignment horizontal="center"/>
    </xf>
    <xf numFmtId="9" fontId="5" fillId="0" borderId="0" xfId="0" applyNumberFormat="1" applyFont="1"/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5" fillId="0" borderId="2" xfId="3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9" fontId="5" fillId="0" borderId="2" xfId="2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6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6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7" fontId="2" fillId="0" borderId="2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">
    <cellStyle name="Comma" xfId="1" builtinId="3"/>
    <cellStyle name="Comma [0]" xfId="3" builtinId="6"/>
    <cellStyle name="Normal" xfId="0" builtinId="0"/>
    <cellStyle name="Per cent" xfId="2" builtinId="5"/>
  </cellStyles>
  <dxfs count="3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name="Total GDHI-style" pivot="0" count="4" xr9:uid="{00000000-0011-0000-FFFF-FFFF00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Individuals Income After Tax -style" pivot="0" count="4" xr9:uid="{00000000-0011-0000-FFFF-FFFF01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Individuals Income After Tax -style 2" pivot="0" count="4" xr9:uid="{00000000-0011-0000-FFFF-FFFF02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Individuals Income After Tax -style 3" pivot="0" count="4" xr9:uid="{00000000-0011-0000-FFFF-FFFF03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Individuals Income After Tax -style 4" pivot="0" count="4" xr9:uid="{00000000-0011-0000-FFFF-FFFF04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Individuals Income After Tax -style 5" pivot="0" count="4" xr9:uid="{00000000-0011-0000-FFFF-FFFF05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Total Population Data-style" pivot="0" count="2" xr9:uid="{00000000-0011-0000-FFFF-FFFF06000000}">
      <tableStyleElement type="firstRowStripe" dxfId="11"/>
      <tableStyleElement type="secondRowStripe" dxfId="10"/>
    </tableStyle>
    <tableStyle name="Income Data -style" pivot="0" count="4" xr9:uid="{00000000-0011-0000-FFFF-FFFF07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Income Data -style 2" pivot="0" count="2" xr9:uid="{00000000-0011-0000-FFFF-FFFF08000000}">
      <tableStyleElement type="firstRowStripe" dxfId="5"/>
      <tableStyleElement type="secondRowStripe" dxfId="4"/>
    </tableStyle>
    <tableStyle name="S.D. of Skew-style" pivot="0" count="4" xr9:uid="{00000000-0011-0000-FFFF-FFFF09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D0F7-11D2-435C-B24B-8B7D72179B46}">
  <dimension ref="A1:L71"/>
  <sheetViews>
    <sheetView tabSelected="1" topLeftCell="A54" zoomScale="150" workbookViewId="0">
      <selection activeCell="C65" sqref="C65"/>
    </sheetView>
  </sheetViews>
  <sheetFormatPr baseColWidth="10" defaultColWidth="8.6640625" defaultRowHeight="16" x14ac:dyDescent="0.2"/>
  <cols>
    <col min="1" max="1" width="15.6640625" style="7" customWidth="1"/>
    <col min="2" max="2" width="19.33203125" style="7" customWidth="1"/>
    <col min="3" max="3" width="16.6640625" style="7" customWidth="1"/>
    <col min="4" max="4" width="21.33203125" style="7" customWidth="1"/>
    <col min="5" max="5" width="17.5" style="7" customWidth="1"/>
    <col min="6" max="6" width="18.1640625" style="7" customWidth="1"/>
    <col min="7" max="7" width="16.83203125" style="7" bestFit="1" customWidth="1"/>
    <col min="8" max="8" width="24.6640625" style="7" bestFit="1" customWidth="1"/>
    <col min="9" max="12" width="14.1640625" style="7" bestFit="1" customWidth="1"/>
    <col min="13" max="16384" width="8.6640625" style="7"/>
  </cols>
  <sheetData>
    <row r="1" spans="1:12" x14ac:dyDescent="0.2">
      <c r="A1" s="25" t="s">
        <v>18</v>
      </c>
      <c r="B1" s="25"/>
      <c r="C1" s="25"/>
      <c r="G1" s="8"/>
      <c r="H1"/>
      <c r="I1" s="8"/>
      <c r="J1" s="8"/>
      <c r="K1" s="8"/>
      <c r="L1" s="8"/>
    </row>
    <row r="2" spans="1:12" x14ac:dyDescent="0.2">
      <c r="H2" s="14"/>
    </row>
    <row r="3" spans="1:12" x14ac:dyDescent="0.2">
      <c r="B3" s="27" t="s">
        <v>19</v>
      </c>
      <c r="C3" s="27"/>
      <c r="D3" s="27"/>
      <c r="E3" s="27"/>
      <c r="F3" s="8"/>
      <c r="G3" s="8"/>
    </row>
    <row r="4" spans="1:12" x14ac:dyDescent="0.2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H4" s="1"/>
    </row>
    <row r="5" spans="1:12" x14ac:dyDescent="0.2">
      <c r="A5" s="2" t="s">
        <v>1</v>
      </c>
      <c r="B5" s="3">
        <v>4166844</v>
      </c>
      <c r="C5" s="3">
        <v>4078263</v>
      </c>
      <c r="D5" s="3">
        <v>4040504</v>
      </c>
      <c r="E5" s="3">
        <v>4071435</v>
      </c>
      <c r="F5" s="3">
        <v>4120319</v>
      </c>
    </row>
    <row r="6" spans="1:12" x14ac:dyDescent="0.2">
      <c r="A6" s="2" t="s">
        <v>2</v>
      </c>
      <c r="B6" s="3">
        <v>4447761</v>
      </c>
      <c r="C6" s="3">
        <v>4394263</v>
      </c>
      <c r="D6" s="3">
        <v>4335196</v>
      </c>
      <c r="E6" s="3">
        <v>4366905</v>
      </c>
      <c r="F6" s="3">
        <v>4474206</v>
      </c>
    </row>
    <row r="7" spans="1:12" x14ac:dyDescent="0.2">
      <c r="A7" s="2" t="s">
        <v>3</v>
      </c>
      <c r="B7" s="3">
        <v>4557846</v>
      </c>
      <c r="C7" s="3">
        <v>4584222</v>
      </c>
      <c r="D7" s="3">
        <v>4627258</v>
      </c>
      <c r="E7" s="3">
        <v>4679504</v>
      </c>
      <c r="F7" s="3">
        <v>4745635</v>
      </c>
    </row>
    <row r="8" spans="1:12" x14ac:dyDescent="0.2">
      <c r="A8" s="2" t="s">
        <v>4</v>
      </c>
      <c r="B8" s="3">
        <v>4442082</v>
      </c>
      <c r="C8" s="3">
        <v>4448862</v>
      </c>
      <c r="D8" s="3">
        <v>4462604</v>
      </c>
      <c r="E8" s="3">
        <v>4533214</v>
      </c>
      <c r="F8" s="3">
        <v>4670310</v>
      </c>
    </row>
    <row r="9" spans="1:12" x14ac:dyDescent="0.2">
      <c r="A9" s="2" t="s">
        <v>5</v>
      </c>
      <c r="B9" s="3">
        <v>4072781</v>
      </c>
      <c r="C9" s="3">
        <v>4140330</v>
      </c>
      <c r="D9" s="3">
        <v>4221103</v>
      </c>
      <c r="E9" s="3">
        <v>4331767</v>
      </c>
      <c r="F9" s="3">
        <v>4466504</v>
      </c>
    </row>
    <row r="10" spans="1:12" x14ac:dyDescent="0.2">
      <c r="A10" s="2" t="s">
        <v>6</v>
      </c>
      <c r="B10" s="3">
        <v>4452645</v>
      </c>
      <c r="C10" s="3">
        <v>4349783</v>
      </c>
      <c r="D10" s="3">
        <v>4215741</v>
      </c>
      <c r="E10" s="3">
        <v>4101706</v>
      </c>
      <c r="F10" s="3">
        <v>4053435</v>
      </c>
    </row>
    <row r="11" spans="1:12" x14ac:dyDescent="0.2">
      <c r="A11" s="2" t="s">
        <v>7</v>
      </c>
      <c r="B11" s="3">
        <v>4698298</v>
      </c>
      <c r="C11" s="3">
        <v>4653741</v>
      </c>
      <c r="D11" s="3">
        <v>4647767</v>
      </c>
      <c r="E11" s="3">
        <v>4597769</v>
      </c>
      <c r="F11" s="3">
        <v>4528084</v>
      </c>
    </row>
    <row r="12" spans="1:12" x14ac:dyDescent="0.2">
      <c r="A12" s="2" t="s">
        <v>8</v>
      </c>
      <c r="B12" s="3">
        <v>4415032</v>
      </c>
      <c r="C12" s="3">
        <v>4512319</v>
      </c>
      <c r="D12" s="3">
        <v>4580478</v>
      </c>
      <c r="E12" s="3">
        <v>4616889</v>
      </c>
      <c r="F12" s="3">
        <v>4628019</v>
      </c>
    </row>
    <row r="13" spans="1:12" x14ac:dyDescent="0.2">
      <c r="A13" s="2" t="s">
        <v>9</v>
      </c>
      <c r="B13" s="3">
        <v>3744112</v>
      </c>
      <c r="C13" s="3">
        <v>3847066</v>
      </c>
      <c r="D13" s="3">
        <v>3961757</v>
      </c>
      <c r="E13" s="3">
        <v>4077616</v>
      </c>
      <c r="F13" s="3">
        <v>4184258</v>
      </c>
    </row>
    <row r="14" spans="1:12" x14ac:dyDescent="0.2">
      <c r="A14" s="6" t="s">
        <v>16</v>
      </c>
      <c r="B14" s="4">
        <v>38997401</v>
      </c>
      <c r="C14" s="4">
        <v>39008849</v>
      </c>
      <c r="D14" s="4">
        <v>39092408</v>
      </c>
      <c r="E14" s="4">
        <v>39376805</v>
      </c>
      <c r="F14" s="4">
        <v>39870770</v>
      </c>
    </row>
    <row r="15" spans="1:12" x14ac:dyDescent="0.2">
      <c r="H15" s="12"/>
      <c r="I15" s="12"/>
      <c r="J15" s="12"/>
      <c r="K15" s="12"/>
      <c r="L15" s="12"/>
    </row>
    <row r="16" spans="1:12" x14ac:dyDescent="0.2">
      <c r="B16" s="23" t="s">
        <v>17</v>
      </c>
      <c r="C16" s="23"/>
      <c r="D16" s="23"/>
      <c r="E16" s="23"/>
      <c r="F16" s="23"/>
      <c r="G16" s="23"/>
    </row>
    <row r="17" spans="1:6" x14ac:dyDescent="0.2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15</v>
      </c>
    </row>
    <row r="18" spans="1:6" x14ac:dyDescent="0.2">
      <c r="A18" s="2" t="s">
        <v>1</v>
      </c>
      <c r="B18" s="5">
        <v>1880000</v>
      </c>
      <c r="C18" s="5">
        <v>1790000</v>
      </c>
      <c r="D18" s="5">
        <v>1670000</v>
      </c>
      <c r="E18" s="5">
        <v>1820000</v>
      </c>
      <c r="F18" s="5">
        <v>1960000</v>
      </c>
    </row>
    <row r="19" spans="1:6" x14ac:dyDescent="0.2">
      <c r="A19" s="2" t="s">
        <v>2</v>
      </c>
      <c r="B19" s="5">
        <v>3000000</v>
      </c>
      <c r="C19" s="5">
        <v>2970000</v>
      </c>
      <c r="D19" s="5">
        <v>2870000</v>
      </c>
      <c r="E19" s="5">
        <v>3030000</v>
      </c>
      <c r="F19" s="5">
        <v>3150000</v>
      </c>
    </row>
    <row r="20" spans="1:6" x14ac:dyDescent="0.2">
      <c r="A20" s="2" t="s">
        <v>3</v>
      </c>
      <c r="B20" s="5">
        <v>3120000</v>
      </c>
      <c r="C20" s="5">
        <v>3150000</v>
      </c>
      <c r="D20" s="5">
        <v>3150000</v>
      </c>
      <c r="E20" s="5">
        <v>3290000</v>
      </c>
      <c r="F20" s="5">
        <v>3430000</v>
      </c>
    </row>
    <row r="21" spans="1:6" x14ac:dyDescent="0.2">
      <c r="A21" s="2" t="s">
        <v>4</v>
      </c>
      <c r="B21" s="5">
        <v>3020000</v>
      </c>
      <c r="C21" s="5">
        <v>3040000</v>
      </c>
      <c r="D21" s="5">
        <v>3060000</v>
      </c>
      <c r="E21" s="5">
        <v>3180000</v>
      </c>
      <c r="F21" s="5">
        <v>3340000</v>
      </c>
    </row>
    <row r="22" spans="1:6" x14ac:dyDescent="0.2">
      <c r="A22" s="2" t="s">
        <v>5</v>
      </c>
      <c r="B22" s="5">
        <v>2770000</v>
      </c>
      <c r="C22" s="5">
        <v>2820000</v>
      </c>
      <c r="D22" s="5">
        <v>2900000</v>
      </c>
      <c r="E22" s="5">
        <v>3070000</v>
      </c>
      <c r="F22" s="5">
        <v>3230000</v>
      </c>
    </row>
    <row r="23" spans="1:6" x14ac:dyDescent="0.2">
      <c r="A23" s="2" t="s">
        <v>6</v>
      </c>
      <c r="B23" s="5">
        <v>3090000</v>
      </c>
      <c r="C23" s="5">
        <v>3020000</v>
      </c>
      <c r="D23" s="5">
        <v>2930000</v>
      </c>
      <c r="E23" s="5">
        <v>2930000</v>
      </c>
      <c r="F23" s="5">
        <v>2960000</v>
      </c>
    </row>
    <row r="24" spans="1:6" x14ac:dyDescent="0.2">
      <c r="A24" s="2" t="s">
        <v>7</v>
      </c>
      <c r="B24" s="5">
        <v>3170000</v>
      </c>
      <c r="C24" s="5">
        <v>3140000</v>
      </c>
      <c r="D24" s="5">
        <v>3110000</v>
      </c>
      <c r="E24" s="5">
        <v>3190000</v>
      </c>
      <c r="F24" s="5">
        <v>3240000</v>
      </c>
    </row>
    <row r="25" spans="1:6" x14ac:dyDescent="0.2">
      <c r="A25" s="2" t="s">
        <v>8</v>
      </c>
      <c r="B25" s="5">
        <v>2820000</v>
      </c>
      <c r="C25" s="5">
        <v>2880000</v>
      </c>
      <c r="D25" s="5">
        <v>2920000</v>
      </c>
      <c r="E25" s="5">
        <v>3000000</v>
      </c>
      <c r="F25" s="5">
        <v>3120000</v>
      </c>
    </row>
    <row r="26" spans="1:6" x14ac:dyDescent="0.2">
      <c r="A26" s="2" t="s">
        <v>9</v>
      </c>
      <c r="B26" s="5">
        <v>2090000</v>
      </c>
      <c r="C26" s="5">
        <v>2110000</v>
      </c>
      <c r="D26" s="5">
        <v>2200000</v>
      </c>
      <c r="E26" s="5">
        <v>2320000</v>
      </c>
      <c r="F26" s="5">
        <v>2450000</v>
      </c>
    </row>
    <row r="27" spans="1:6" x14ac:dyDescent="0.2">
      <c r="A27" s="1" t="s">
        <v>16</v>
      </c>
      <c r="B27" s="4">
        <f>SUM(B18:B26)</f>
        <v>24960000</v>
      </c>
      <c r="C27" s="4">
        <f t="shared" ref="C27:F27" si="0">SUM(C18:C26)</f>
        <v>24920000</v>
      </c>
      <c r="D27" s="4">
        <f t="shared" si="0"/>
        <v>24810000</v>
      </c>
      <c r="E27" s="4">
        <f t="shared" si="0"/>
        <v>25830000</v>
      </c>
      <c r="F27" s="4">
        <f t="shared" si="0"/>
        <v>26880000</v>
      </c>
    </row>
    <row r="30" spans="1:6" x14ac:dyDescent="0.2">
      <c r="B30" s="26" t="s">
        <v>20</v>
      </c>
      <c r="C30" s="26"/>
      <c r="D30" s="26"/>
      <c r="E30" s="26"/>
      <c r="F30" s="22"/>
    </row>
    <row r="31" spans="1:6" x14ac:dyDescent="0.2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15</v>
      </c>
    </row>
    <row r="32" spans="1:6" x14ac:dyDescent="0.2">
      <c r="A32" s="2" t="s">
        <v>1</v>
      </c>
      <c r="B32" s="10">
        <f>B18/B5</f>
        <v>0.45118079774524794</v>
      </c>
      <c r="C32" s="10">
        <f t="shared" ref="C32:F32" si="1">C18/C5</f>
        <v>0.43891235067478485</v>
      </c>
      <c r="D32" s="10">
        <f t="shared" si="1"/>
        <v>0.41331477459247656</v>
      </c>
      <c r="E32" s="10">
        <f t="shared" si="1"/>
        <v>0.44701683804358905</v>
      </c>
      <c r="F32" s="10">
        <f t="shared" si="1"/>
        <v>0.47569132389992136</v>
      </c>
    </row>
    <row r="33" spans="1:6" x14ac:dyDescent="0.2">
      <c r="A33" s="2" t="s">
        <v>2</v>
      </c>
      <c r="B33" s="10">
        <f t="shared" ref="B33:F41" si="2">B19/B6</f>
        <v>0.67449667371965361</v>
      </c>
      <c r="C33" s="10">
        <f t="shared" si="2"/>
        <v>0.67588125699349355</v>
      </c>
      <c r="D33" s="10">
        <f t="shared" si="2"/>
        <v>0.66202312421399168</v>
      </c>
      <c r="E33" s="10">
        <f t="shared" si="2"/>
        <v>0.69385525904502154</v>
      </c>
      <c r="F33" s="10">
        <f t="shared" si="2"/>
        <v>0.7040355316675182</v>
      </c>
    </row>
    <row r="34" spans="1:6" x14ac:dyDescent="0.2">
      <c r="A34" s="2" t="s">
        <v>3</v>
      </c>
      <c r="B34" s="10">
        <f t="shared" si="2"/>
        <v>0.68453387850313507</v>
      </c>
      <c r="C34" s="10">
        <f t="shared" si="2"/>
        <v>0.68713949717094858</v>
      </c>
      <c r="D34" s="10">
        <f t="shared" si="2"/>
        <v>0.68074872851265267</v>
      </c>
      <c r="E34" s="10">
        <f t="shared" si="2"/>
        <v>0.70306596596562376</v>
      </c>
      <c r="F34" s="10">
        <f t="shared" si="2"/>
        <v>0.72276945024216988</v>
      </c>
    </row>
    <row r="35" spans="1:6" x14ac:dyDescent="0.2">
      <c r="A35" s="2" t="s">
        <v>4</v>
      </c>
      <c r="B35" s="10">
        <f t="shared" si="2"/>
        <v>0.6798613803167074</v>
      </c>
      <c r="C35" s="10">
        <f t="shared" si="2"/>
        <v>0.68332081327764271</v>
      </c>
      <c r="D35" s="10">
        <f t="shared" si="2"/>
        <v>0.68569830529439757</v>
      </c>
      <c r="E35" s="10">
        <f t="shared" si="2"/>
        <v>0.70148905390303662</v>
      </c>
      <c r="F35" s="10">
        <f t="shared" si="2"/>
        <v>0.71515595324507364</v>
      </c>
    </row>
    <row r="36" spans="1:6" x14ac:dyDescent="0.2">
      <c r="A36" s="2" t="s">
        <v>5</v>
      </c>
      <c r="B36" s="10">
        <f t="shared" si="2"/>
        <v>0.68012495638729409</v>
      </c>
      <c r="C36" s="10">
        <f t="shared" si="2"/>
        <v>0.68110512930128753</v>
      </c>
      <c r="D36" s="10">
        <f t="shared" si="2"/>
        <v>0.68702422092045612</v>
      </c>
      <c r="E36" s="10">
        <f t="shared" si="2"/>
        <v>0.70871771265629013</v>
      </c>
      <c r="F36" s="10">
        <f t="shared" si="2"/>
        <v>0.72316066435852289</v>
      </c>
    </row>
    <row r="37" spans="1:6" x14ac:dyDescent="0.2">
      <c r="A37" s="2" t="s">
        <v>6</v>
      </c>
      <c r="B37" s="10">
        <f t="shared" si="2"/>
        <v>0.6939695394535158</v>
      </c>
      <c r="C37" s="10">
        <f t="shared" si="2"/>
        <v>0.69428750813546336</v>
      </c>
      <c r="D37" s="10">
        <f t="shared" si="2"/>
        <v>0.69501423355941461</v>
      </c>
      <c r="E37" s="10">
        <f t="shared" si="2"/>
        <v>0.71433691249445963</v>
      </c>
      <c r="F37" s="10">
        <f t="shared" si="2"/>
        <v>0.73024484172066406</v>
      </c>
    </row>
    <row r="38" spans="1:6" x14ac:dyDescent="0.2">
      <c r="A38" s="2" t="s">
        <v>7</v>
      </c>
      <c r="B38" s="10">
        <f t="shared" si="2"/>
        <v>0.67471241713488583</v>
      </c>
      <c r="C38" s="10">
        <f t="shared" si="2"/>
        <v>0.67472598926326155</v>
      </c>
      <c r="D38" s="10">
        <f t="shared" si="2"/>
        <v>0.66913853469849072</v>
      </c>
      <c r="E38" s="10">
        <f t="shared" si="2"/>
        <v>0.69381476102866413</v>
      </c>
      <c r="F38" s="10">
        <f t="shared" si="2"/>
        <v>0.71553442913161502</v>
      </c>
    </row>
    <row r="39" spans="1:6" x14ac:dyDescent="0.2">
      <c r="A39" s="2" t="s">
        <v>8</v>
      </c>
      <c r="B39" s="10">
        <f t="shared" si="2"/>
        <v>0.63872696732435918</v>
      </c>
      <c r="C39" s="10">
        <f t="shared" si="2"/>
        <v>0.6382527476448363</v>
      </c>
      <c r="D39" s="10">
        <f t="shared" si="2"/>
        <v>0.63748805255696017</v>
      </c>
      <c r="E39" s="10">
        <f t="shared" si="2"/>
        <v>0.64978820153570949</v>
      </c>
      <c r="F39" s="10">
        <f t="shared" si="2"/>
        <v>0.6741545356663402</v>
      </c>
    </row>
    <row r="40" spans="1:6" x14ac:dyDescent="0.2">
      <c r="A40" s="2" t="s">
        <v>9</v>
      </c>
      <c r="B40" s="10">
        <f t="shared" si="2"/>
        <v>0.55820979714282049</v>
      </c>
      <c r="C40" s="10">
        <f t="shared" si="2"/>
        <v>0.54846992487261725</v>
      </c>
      <c r="D40" s="10">
        <f t="shared" si="2"/>
        <v>0.55530917216780329</v>
      </c>
      <c r="E40" s="10">
        <f t="shared" si="2"/>
        <v>0.56895990206041958</v>
      </c>
      <c r="F40" s="10">
        <f t="shared" si="2"/>
        <v>0.58552794784642825</v>
      </c>
    </row>
    <row r="41" spans="1:6" x14ac:dyDescent="0.2">
      <c r="A41" s="1" t="s">
        <v>16</v>
      </c>
      <c r="B41" s="11">
        <f t="shared" si="2"/>
        <v>0.64004265309885655</v>
      </c>
      <c r="C41" s="11">
        <f t="shared" si="2"/>
        <v>0.63882941021920436</v>
      </c>
      <c r="D41" s="11">
        <f t="shared" si="2"/>
        <v>0.63465008346377638</v>
      </c>
      <c r="E41" s="11">
        <f t="shared" si="2"/>
        <v>0.65596992950545374</v>
      </c>
      <c r="F41" s="11">
        <f t="shared" si="2"/>
        <v>0.67417810089948105</v>
      </c>
    </row>
    <row r="42" spans="1:6" x14ac:dyDescent="0.2">
      <c r="A42" s="9"/>
      <c r="B42" s="9"/>
      <c r="C42" s="9"/>
      <c r="D42" s="9"/>
      <c r="E42" s="9"/>
      <c r="F42" s="9"/>
    </row>
    <row r="44" spans="1:6" x14ac:dyDescent="0.2">
      <c r="A44" s="15" t="s">
        <v>10</v>
      </c>
      <c r="B44" s="24" t="s">
        <v>24</v>
      </c>
      <c r="C44" s="24"/>
      <c r="D44" s="24"/>
      <c r="E44" s="24"/>
      <c r="F44" s="9"/>
    </row>
    <row r="45" spans="1:6" x14ac:dyDescent="0.2">
      <c r="A45" s="13" t="s">
        <v>1</v>
      </c>
      <c r="B45" s="15" t="s">
        <v>11</v>
      </c>
      <c r="C45" s="15" t="s">
        <v>12</v>
      </c>
      <c r="D45" s="15" t="s">
        <v>13</v>
      </c>
      <c r="E45" s="15" t="s">
        <v>14</v>
      </c>
      <c r="F45" s="15" t="s">
        <v>15</v>
      </c>
    </row>
    <row r="46" spans="1:6" x14ac:dyDescent="0.2">
      <c r="A46" s="16" t="s">
        <v>0</v>
      </c>
      <c r="B46" s="17">
        <f>VLOOKUP($A$45,$A$4:$F$14,2,FALSE)</f>
        <v>4166844</v>
      </c>
      <c r="C46" s="17">
        <f>VLOOKUP($A$45,$A$4:$F$14,3,FALSE)</f>
        <v>4078263</v>
      </c>
      <c r="D46" s="17">
        <f>VLOOKUP($A$45,$A$4:$F$14,4,FALSE)</f>
        <v>4040504</v>
      </c>
      <c r="E46" s="17">
        <f>VLOOKUP($A$45,$A$4:$F$14,5,FALSE)</f>
        <v>4071435</v>
      </c>
      <c r="F46" s="17">
        <f>VLOOKUP($A$45,$A$4:$F$14,6,FALSE)</f>
        <v>4120319</v>
      </c>
    </row>
    <row r="47" spans="1:6" ht="51" x14ac:dyDescent="0.2">
      <c r="A47" s="18" t="s">
        <v>21</v>
      </c>
      <c r="B47" s="19">
        <f>VLOOKUP($A$45,$A$31:$F$41,2,FALSE)</f>
        <v>0.45118079774524794</v>
      </c>
      <c r="C47" s="19">
        <f>VLOOKUP($A$45,$A$31:$F$41,3,FALSE)</f>
        <v>0.43891235067478485</v>
      </c>
      <c r="D47" s="19">
        <f>VLOOKUP($A$45,$A$31:$F$41,4,FALSE)</f>
        <v>0.41331477459247656</v>
      </c>
      <c r="E47" s="19">
        <f>VLOOKUP($A$45,$A$31:$F$41,5,FALSE)</f>
        <v>0.44701683804358905</v>
      </c>
      <c r="F47" s="19">
        <f>VLOOKUP($A$45,$A$31:$F$41,6,FALSE)</f>
        <v>0.47569132389992136</v>
      </c>
    </row>
    <row r="48" spans="1:6" ht="34" x14ac:dyDescent="0.2">
      <c r="A48" s="20" t="s">
        <v>23</v>
      </c>
      <c r="B48" s="21">
        <f>B46*$B$47</f>
        <v>1880000</v>
      </c>
      <c r="C48" s="21">
        <f>C46*$C$47</f>
        <v>1790000</v>
      </c>
      <c r="D48" s="21">
        <f>D46*$D$47</f>
        <v>1670000</v>
      </c>
      <c r="E48" s="21">
        <f>E46*$E$47</f>
        <v>1820000</v>
      </c>
      <c r="F48" s="21">
        <f>F46*$F$47</f>
        <v>1960000</v>
      </c>
    </row>
    <row r="51" spans="1:6" x14ac:dyDescent="0.2">
      <c r="A51" s="15" t="s">
        <v>10</v>
      </c>
      <c r="B51" s="24" t="s">
        <v>22</v>
      </c>
      <c r="C51" s="24"/>
      <c r="D51" s="24"/>
      <c r="E51" s="24"/>
      <c r="F51" s="9"/>
    </row>
    <row r="52" spans="1:6" x14ac:dyDescent="0.2">
      <c r="A52" s="13" t="str">
        <f>A45</f>
        <v>20-24</v>
      </c>
      <c r="B52" s="15" t="s">
        <v>11</v>
      </c>
      <c r="C52" s="15" t="s">
        <v>12</v>
      </c>
      <c r="D52" s="15" t="s">
        <v>13</v>
      </c>
      <c r="E52" s="15" t="s">
        <v>14</v>
      </c>
      <c r="F52" s="15" t="s">
        <v>15</v>
      </c>
    </row>
    <row r="53" spans="1:6" x14ac:dyDescent="0.2">
      <c r="A53" s="16" t="s">
        <v>0</v>
      </c>
      <c r="B53" s="17">
        <f>VLOOKUP($A$45,$A$4:$F$14,2,FALSE)</f>
        <v>4166844</v>
      </c>
      <c r="C53" s="17">
        <f>VLOOKUP($A$45,$A$4:$F$14,3,FALSE)</f>
        <v>4078263</v>
      </c>
      <c r="D53" s="17">
        <f>VLOOKUP($A$45,$A$4:$F$14,4,FALSE)</f>
        <v>4040504</v>
      </c>
      <c r="E53" s="17">
        <f>VLOOKUP($A$45,$A$4:$F$14,5,FALSE)</f>
        <v>4071435</v>
      </c>
      <c r="F53" s="17">
        <f>VLOOKUP($A$45,$A$4:$F$14,6,FALSE)</f>
        <v>4120319</v>
      </c>
    </row>
    <row r="54" spans="1:6" ht="51" x14ac:dyDescent="0.2">
      <c r="A54" s="18" t="s">
        <v>21</v>
      </c>
      <c r="B54" s="19">
        <v>0.75</v>
      </c>
      <c r="C54" s="19">
        <v>0.75</v>
      </c>
      <c r="D54" s="19">
        <v>0.75</v>
      </c>
      <c r="E54" s="19">
        <v>0.75</v>
      </c>
      <c r="F54" s="19">
        <v>0.75</v>
      </c>
    </row>
    <row r="55" spans="1:6" ht="34" x14ac:dyDescent="0.2">
      <c r="A55" s="20" t="s">
        <v>23</v>
      </c>
      <c r="B55" s="21">
        <f>B53*$B$54</f>
        <v>3125133</v>
      </c>
      <c r="C55" s="21">
        <f t="shared" ref="C55:F55" si="3">C53*$B$54</f>
        <v>3058697.25</v>
      </c>
      <c r="D55" s="21">
        <f t="shared" si="3"/>
        <v>3030378</v>
      </c>
      <c r="E55" s="21">
        <f t="shared" si="3"/>
        <v>3053576.25</v>
      </c>
      <c r="F55" s="21">
        <f t="shared" si="3"/>
        <v>3090239.25</v>
      </c>
    </row>
    <row r="57" spans="1:6" x14ac:dyDescent="0.2">
      <c r="A57" s="28"/>
      <c r="B57" s="29" t="s">
        <v>25</v>
      </c>
      <c r="C57" s="29"/>
      <c r="D57" s="29"/>
      <c r="E57" s="29"/>
      <c r="F57" s="30"/>
    </row>
    <row r="58" spans="1:6" x14ac:dyDescent="0.2">
      <c r="A58" s="28"/>
      <c r="B58" s="31" t="s">
        <v>26</v>
      </c>
      <c r="C58" s="32"/>
      <c r="D58" s="32"/>
      <c r="E58" s="33"/>
      <c r="F58" s="30"/>
    </row>
    <row r="59" spans="1:6" x14ac:dyDescent="0.2">
      <c r="A59" s="15" t="s">
        <v>10</v>
      </c>
      <c r="B59" s="15" t="s">
        <v>11</v>
      </c>
      <c r="C59" s="15" t="s">
        <v>12</v>
      </c>
      <c r="D59" s="15" t="s">
        <v>13</v>
      </c>
      <c r="E59" s="15" t="s">
        <v>14</v>
      </c>
      <c r="F59" s="15" t="s">
        <v>15</v>
      </c>
    </row>
    <row r="60" spans="1:6" x14ac:dyDescent="0.2">
      <c r="A60" s="15" t="s">
        <v>1</v>
      </c>
      <c r="B60" s="34">
        <v>3920000</v>
      </c>
      <c r="C60" s="34">
        <v>3870000</v>
      </c>
      <c r="D60" s="34">
        <v>3860000</v>
      </c>
      <c r="E60" s="34">
        <v>2990000</v>
      </c>
      <c r="F60" s="34">
        <v>2080000</v>
      </c>
    </row>
    <row r="61" spans="1:6" x14ac:dyDescent="0.2">
      <c r="A61" s="35" t="s">
        <v>2</v>
      </c>
      <c r="B61" s="36">
        <v>3000000</v>
      </c>
      <c r="C61" s="36">
        <v>2970000</v>
      </c>
      <c r="D61" s="36">
        <v>2870000</v>
      </c>
      <c r="E61" s="36">
        <v>3030000</v>
      </c>
      <c r="F61" s="36">
        <v>3150000</v>
      </c>
    </row>
    <row r="62" spans="1:6" x14ac:dyDescent="0.2">
      <c r="A62" s="35" t="s">
        <v>3</v>
      </c>
      <c r="B62" s="36">
        <v>3120000</v>
      </c>
      <c r="C62" s="36">
        <v>3150000</v>
      </c>
      <c r="D62" s="36">
        <v>3150000</v>
      </c>
      <c r="E62" s="36">
        <v>3290000</v>
      </c>
      <c r="F62" s="36">
        <v>3430000</v>
      </c>
    </row>
    <row r="63" spans="1:6" x14ac:dyDescent="0.2">
      <c r="A63" s="35" t="s">
        <v>4</v>
      </c>
      <c r="B63" s="36">
        <v>3020000</v>
      </c>
      <c r="C63" s="36">
        <v>3040000</v>
      </c>
      <c r="D63" s="36">
        <v>3060000</v>
      </c>
      <c r="E63" s="36">
        <v>3180000</v>
      </c>
      <c r="F63" s="36">
        <v>3340000</v>
      </c>
    </row>
    <row r="64" spans="1:6" x14ac:dyDescent="0.2">
      <c r="A64" s="35" t="s">
        <v>5</v>
      </c>
      <c r="B64" s="36">
        <v>2770000</v>
      </c>
      <c r="C64" s="36">
        <v>2820000</v>
      </c>
      <c r="D64" s="36">
        <v>2900000</v>
      </c>
      <c r="E64" s="36">
        <v>3070000</v>
      </c>
      <c r="F64" s="36">
        <v>3230000</v>
      </c>
    </row>
    <row r="65" spans="1:6" x14ac:dyDescent="0.2">
      <c r="A65" s="35" t="s">
        <v>6</v>
      </c>
      <c r="B65" s="36">
        <v>3090000</v>
      </c>
      <c r="C65" s="36">
        <v>3020000</v>
      </c>
      <c r="D65" s="36">
        <v>2930000</v>
      </c>
      <c r="E65" s="36">
        <v>2930000</v>
      </c>
      <c r="F65" s="36">
        <v>2960000</v>
      </c>
    </row>
    <row r="66" spans="1:6" x14ac:dyDescent="0.2">
      <c r="A66" s="35" t="s">
        <v>7</v>
      </c>
      <c r="B66" s="36">
        <v>3170000</v>
      </c>
      <c r="C66" s="36">
        <v>3140000</v>
      </c>
      <c r="D66" s="36">
        <v>3110000</v>
      </c>
      <c r="E66" s="36">
        <v>3190000</v>
      </c>
      <c r="F66" s="36">
        <v>3240000</v>
      </c>
    </row>
    <row r="67" spans="1:6" x14ac:dyDescent="0.2">
      <c r="A67" s="35" t="s">
        <v>8</v>
      </c>
      <c r="B67" s="36">
        <v>2820000</v>
      </c>
      <c r="C67" s="36">
        <v>2880000</v>
      </c>
      <c r="D67" s="36">
        <v>2920000</v>
      </c>
      <c r="E67" s="36">
        <v>3000000</v>
      </c>
      <c r="F67" s="36">
        <v>3120000</v>
      </c>
    </row>
    <row r="68" spans="1:6" x14ac:dyDescent="0.2">
      <c r="A68" s="35" t="s">
        <v>9</v>
      </c>
      <c r="B68" s="36">
        <v>2090000</v>
      </c>
      <c r="C68" s="36">
        <v>2110000</v>
      </c>
      <c r="D68" s="36">
        <v>2200000</v>
      </c>
      <c r="E68" s="36">
        <v>2320000</v>
      </c>
      <c r="F68" s="36">
        <v>2450000</v>
      </c>
    </row>
    <row r="69" spans="1:6" x14ac:dyDescent="0.2">
      <c r="A69" s="15" t="s">
        <v>16</v>
      </c>
      <c r="B69" s="37">
        <f>SUM(B60:B68)</f>
        <v>27000000</v>
      </c>
      <c r="C69" s="37">
        <f t="shared" ref="C69:F69" si="4">SUM(C60:C68)</f>
        <v>27000000</v>
      </c>
      <c r="D69" s="37">
        <f t="shared" si="4"/>
        <v>27000000</v>
      </c>
      <c r="E69" s="37">
        <f t="shared" si="4"/>
        <v>27000000</v>
      </c>
      <c r="F69" s="37">
        <f t="shared" si="4"/>
        <v>27000000</v>
      </c>
    </row>
    <row r="70" spans="1:6" x14ac:dyDescent="0.2">
      <c r="A70" s="38" t="s">
        <v>27</v>
      </c>
      <c r="B70" s="38"/>
      <c r="C70" s="38"/>
      <c r="D70" s="38"/>
      <c r="E70" s="38"/>
      <c r="F70" s="38"/>
    </row>
    <row r="71" spans="1:6" x14ac:dyDescent="0.2">
      <c r="A71" s="39"/>
      <c r="B71" s="39"/>
      <c r="C71" s="39"/>
      <c r="D71" s="39"/>
      <c r="E71" s="39"/>
      <c r="F71" s="39"/>
    </row>
  </sheetData>
  <scenarios current="2" show="2">
    <scenario name="Scenario 1: 65%" locked="1" count="5" user="MacBookAir" comment="Created by Areeba Malik on 03/02/2026_x000a_Modified by MacBookAir on 04/02/2026">
      <inputCells r="B54" val="0.65"/>
      <inputCells r="C54" val="0.65"/>
      <inputCells r="D54" val="0.65"/>
      <inputCells r="E54" val="0.65"/>
      <inputCells r="F54" val="0.65"/>
    </scenario>
    <scenario name="Scenario 2: 70%" locked="1" count="5" user="MacBookAir" comment="Created by Areeba Malik on 03/02/2026_x000a_Modified by MacBookAir on 04/02/2026">
      <inputCells r="B54" val="0.7"/>
      <inputCells r="C54" val="0.7"/>
      <inputCells r="D54" val="0.7"/>
      <inputCells r="E54" val="0.7"/>
      <inputCells r="F54" val="0.7"/>
    </scenario>
    <scenario name="Scenario 3: 75%" locked="1" count="5" user="MacBookAir" comment="Created by MacBookAir on 04/02/2026_x000a_Modified by MacBookAir on 04/02/2026">
      <inputCells r="B54" val="0.75" numFmtId="9"/>
      <inputCells r="C54" val="0.75" numFmtId="9"/>
      <inputCells r="D54" val="0.75" numFmtId="9"/>
      <inputCells r="E54" val="0.75" numFmtId="9"/>
      <inputCells r="F54" val="0.75" numFmtId="9"/>
    </scenario>
  </scenarios>
  <mergeCells count="8">
    <mergeCell ref="B57:E57"/>
    <mergeCell ref="B58:E58"/>
    <mergeCell ref="A70:F71"/>
    <mergeCell ref="B51:E51"/>
    <mergeCell ref="B44:E44"/>
    <mergeCell ref="A1:C1"/>
    <mergeCell ref="B30:E30"/>
    <mergeCell ref="B3:E3"/>
  </mergeCells>
  <dataValidations count="1">
    <dataValidation type="list" allowBlank="1" showInputMessage="1" showErrorMessage="1" sqref="A45" xr:uid="{988234FA-85EB-6242-82B2-315CC5B61F87}">
      <formula1>$A$4:$A$41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3A471-6082-4ECB-A01C-208442AB7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- Taxpayer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Malik</dc:creator>
  <cp:lastModifiedBy>Areeba Malik</cp:lastModifiedBy>
  <dcterms:created xsi:type="dcterms:W3CDTF">2026-02-03T15:43:45Z</dcterms:created>
  <dcterms:modified xsi:type="dcterms:W3CDTF">2026-02-04T18:18:05Z</dcterms:modified>
</cp:coreProperties>
</file>