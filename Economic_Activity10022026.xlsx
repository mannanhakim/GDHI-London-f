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queryTables/queryTable1.xml" ContentType="application/vnd.openxmlformats-officedocument.spreadsheetml.query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acbookair/Desktop/"/>
    </mc:Choice>
  </mc:AlternateContent>
  <xr:revisionPtr revIDLastSave="0" documentId="13_ncr:1_{A3D1DFB7-F2AD-D546-869D-EB3571AD11B6}" xr6:coauthVersionLast="47" xr6:coauthVersionMax="47" xr10:uidLastSave="{00000000-0000-0000-0000-000000000000}"/>
  <bookViews>
    <workbookView xWindow="0" yWindow="0" windowWidth="28800" windowHeight="18000" firstSheet="3" activeTab="10" xr2:uid="{00000000-000D-0000-FFFF-FFFF00000000}"/>
  </bookViews>
  <sheets>
    <sheet name="Note" sheetId="1" r:id="rId1"/>
    <sheet name="People" sheetId="5" r:id="rId2"/>
    <sheet name="Employment" sheetId="7" r:id="rId3"/>
    <sheet name="Unemployment" sheetId="8" r:id="rId4"/>
    <sheet name="Activity" sheetId="9" r:id="rId5"/>
    <sheet name="Inactivity" sheetId="10" r:id="rId6"/>
    <sheet name="Employment (%)" sheetId="12" r:id="rId7"/>
    <sheet name="Unemployment (%)" sheetId="13" r:id="rId8"/>
    <sheet name="Activity (%)" sheetId="14" r:id="rId9"/>
    <sheet name="Inactivity (%)" sheetId="15" r:id="rId10"/>
    <sheet name="Working_Age_Labour_Status_Level" sheetId="19" r:id="rId11"/>
    <sheet name="Working_Age_Labour_Status_Rate" sheetId="16" r:id="rId12"/>
  </sheets>
  <definedNames>
    <definedName name="ExternalData_1" localSheetId="6" hidden="1">'Employment (%)'!$A$1:$H$7</definedName>
    <definedName name="ExternalData_1" localSheetId="1" hidden="1">People!$A$1:$H$49</definedName>
    <definedName name="ExternalData_1" localSheetId="11" hidden="1">Working_Age_Labour_Status_Rate!$A$1:$H$13</definedName>
    <definedName name="ExternalData_2" localSheetId="2" hidden="1">Employment!$A$1:$G$8</definedName>
    <definedName name="ExternalData_2" localSheetId="7" hidden="1">'Unemployment (%)'!$A$1:$H$7</definedName>
    <definedName name="ExternalData_3" localSheetId="8" hidden="1">'Activity (%)'!$A$1:$H$7</definedName>
    <definedName name="ExternalData_3" localSheetId="3" hidden="1">Unemployment!$A$1:$G$8</definedName>
    <definedName name="ExternalData_3" localSheetId="10" hidden="1">Working_Age_Labour_Status_Level!$A$1:$G$15</definedName>
    <definedName name="ExternalData_4" localSheetId="4" hidden="1">Activity!$A$1:$G$8</definedName>
    <definedName name="ExternalData_4" localSheetId="9" hidden="1">'Inactivity (%)'!$A$1:$H$7</definedName>
    <definedName name="ExternalData_5" localSheetId="5" hidden="1">Inactivity!$A$1:$G$8</definedName>
    <definedName name="SECT01" localSheetId="0">#REF!</definedName>
    <definedName name="SECT01">#REF!</definedName>
    <definedName name="SECT02" localSheetId="0">#REF!</definedName>
    <definedName name="SECT02">#REF!</definedName>
    <definedName name="SECT03" localSheetId="0">#REF!</definedName>
    <definedName name="SECT03">#REF!</definedName>
    <definedName name="TARG001" localSheetId="0">#REF!</definedName>
    <definedName name="TARG001">#REF!</definedName>
    <definedName name="TARG002" localSheetId="0">#REF!</definedName>
    <definedName name="TARG002">#REF!</definedName>
    <definedName name="TARG003" localSheetId="0">#REF!</definedName>
    <definedName name="TARG003">#REF!</definedName>
    <definedName name="TARG004" localSheetId="0">#REF!</definedName>
    <definedName name="TARG004">#REF!</definedName>
    <definedName name="TARG005" localSheetId="0">#REF!</definedName>
    <definedName name="TARG005">#REF!</definedName>
    <definedName name="TARG006" localSheetId="0">#REF!</definedName>
    <definedName name="TARG006">#REF!</definedName>
    <definedName name="TARG007" localSheetId="0">#REF!</definedName>
    <definedName name="TARG007">#REF!</definedName>
    <definedName name="TARG008" localSheetId="0">#REF!</definedName>
    <definedName name="TARG008">#REF!</definedName>
    <definedName name="TARG009" localSheetId="0">#REF!</definedName>
    <definedName name="TARG009">#REF!</definedName>
    <definedName name="TARG010" localSheetId="0">#REF!</definedName>
    <definedName name="TARG010">#REF!</definedName>
    <definedName name="TARG011" localSheetId="0">#REF!</definedName>
    <definedName name="TARG011">#REF!</definedName>
    <definedName name="TARG012" localSheetId="0">#REF!</definedName>
    <definedName name="TARG012">#REF!</definedName>
    <definedName name="TARG013" localSheetId="0">#REF!</definedName>
    <definedName name="TARG013">#REF!</definedName>
    <definedName name="TARG014" localSheetId="0">#REF!</definedName>
    <definedName name="TARG014">#REF!</definedName>
    <definedName name="TARG015" localSheetId="0">#REF!</definedName>
    <definedName name="TARG015">#REF!</definedName>
    <definedName name="TARG016" localSheetId="0">#REF!</definedName>
    <definedName name="TARG016">#REF!</definedName>
    <definedName name="TARG017" localSheetId="0">#REF!</definedName>
    <definedName name="TARG017">#REF!</definedName>
    <definedName name="TARG018" localSheetId="0">#REF!</definedName>
    <definedName name="TARG018">#REF!</definedName>
    <definedName name="TARG019" localSheetId="0">#REF!</definedName>
    <definedName name="TARG019">#REF!</definedName>
    <definedName name="TARG020" localSheetId="0">#REF!</definedName>
    <definedName name="TARG020">#REF!</definedName>
    <definedName name="TARG021" localSheetId="0">#REF!</definedName>
    <definedName name="TARG021">#REF!</definedName>
    <definedName name="TARG022" localSheetId="0">#REF!</definedName>
    <definedName name="TARG022">#REF!</definedName>
    <definedName name="TARG023" localSheetId="0">#REF!</definedName>
    <definedName name="TARG023">#REF!</definedName>
    <definedName name="TARG024" localSheetId="0">#REF!</definedName>
    <definedName name="TARG024">#REF!</definedName>
    <definedName name="TARG025" localSheetId="0">#REF!</definedName>
    <definedName name="TARG025">#REF!</definedName>
    <definedName name="TARG026" localSheetId="0">#REF!</definedName>
    <definedName name="TARG026">#REF!</definedName>
    <definedName name="TARG027" localSheetId="0">#REF!</definedName>
    <definedName name="TARG027">#REF!</definedName>
    <definedName name="TARG028" localSheetId="0">#REF!</definedName>
    <definedName name="TARG028">#REF!</definedName>
    <definedName name="TARG029" localSheetId="0">#REF!</definedName>
    <definedName name="TARG029">#REF!</definedName>
    <definedName name="TARG030" localSheetId="0">#REF!</definedName>
    <definedName name="TARG030">#REF!</definedName>
    <definedName name="TARG031" localSheetId="0">#REF!</definedName>
    <definedName name="TARG031">#REF!</definedName>
    <definedName name="TARG032" localSheetId="0">#REF!</definedName>
    <definedName name="TARG032">#REF!</definedName>
    <definedName name="TARG033" localSheetId="0">#REF!</definedName>
    <definedName name="TARG033">#REF!</definedName>
    <definedName name="TARG034" localSheetId="0">#REF!</definedName>
    <definedName name="TARG034">#REF!</definedName>
    <definedName name="TARG035" localSheetId="0">#REF!</definedName>
    <definedName name="TARG035">#REF!</definedName>
    <definedName name="TARG036" localSheetId="0">#REF!</definedName>
    <definedName name="TARG036">#REF!</definedName>
    <definedName name="TARG037" localSheetId="0">#REF!</definedName>
    <definedName name="TARG037">#REF!</definedName>
    <definedName name="TARG038" localSheetId="0">#REF!</definedName>
    <definedName name="TARG038">#REF!</definedName>
    <definedName name="TARG039" localSheetId="0">#REF!</definedName>
    <definedName name="TARG039">#REF!</definedName>
    <definedName name="TARG040" localSheetId="0">#REF!</definedName>
    <definedName name="TARG040">#REF!</definedName>
    <definedName name="TARG041" localSheetId="0">#REF!</definedName>
    <definedName name="TARG041">#REF!</definedName>
    <definedName name="TARG042" localSheetId="0">#REF!</definedName>
    <definedName name="TARG042">#REF!</definedName>
    <definedName name="TARG043" localSheetId="0">#REF!</definedName>
    <definedName name="TARG043">#REF!</definedName>
    <definedName name="TARG044" localSheetId="0">#REF!</definedName>
    <definedName name="TARG044">#REF!</definedName>
    <definedName name="TARG045" localSheetId="0">#REF!</definedName>
    <definedName name="TARG045">#REF!</definedName>
    <definedName name="TARG046" localSheetId="0">#REF!</definedName>
    <definedName name="TARG046">#REF!</definedName>
    <definedName name="TARG047" localSheetId="0">#REF!</definedName>
    <definedName name="TARG047">#REF!</definedName>
    <definedName name="TARG048" localSheetId="0">#REF!</definedName>
    <definedName name="TARG048">#REF!</definedName>
    <definedName name="TARG049" localSheetId="0">#REF!</definedName>
    <definedName name="TARG049">#REF!</definedName>
    <definedName name="TARG050" localSheetId="0">#REF!</definedName>
    <definedName name="TARG050">#REF!</definedName>
    <definedName name="TARG051" localSheetId="0">#REF!</definedName>
    <definedName name="TARG051">#REF!</definedName>
    <definedName name="TARG052" localSheetId="0">#REF!</definedName>
    <definedName name="TARG052">#REF!</definedName>
    <definedName name="TARG053" localSheetId="0">#REF!</definedName>
    <definedName name="TARG053">#REF!</definedName>
    <definedName name="TARG054" localSheetId="0">#REF!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ARG099">#REF!</definedName>
    <definedName name="TARG100">#REF!</definedName>
    <definedName name="TARG101">#REF!</definedName>
    <definedName name="TARG102">#REF!</definedName>
    <definedName name="TARG103">#REF!</definedName>
    <definedName name="TARG104">#REF!</definedName>
    <definedName name="TARG105">#REF!</definedName>
    <definedName name="TARG106">#REF!</definedName>
    <definedName name="TARG107">#REF!</definedName>
    <definedName name="TARG108">#REF!</definedName>
    <definedName name="TARG109">#REF!</definedName>
    <definedName name="TARG110">#REF!</definedName>
    <definedName name="TARG111">#REF!</definedName>
    <definedName name="TARG112">#REF!</definedName>
    <definedName name="TARG113">#REF!</definedName>
    <definedName name="TARG114">#REF!</definedName>
    <definedName name="TARG115">#REF!</definedName>
    <definedName name="TARG116">#REF!</definedName>
    <definedName name="TARG117">#REF!</definedName>
    <definedName name="TARG118">#REF!</definedName>
    <definedName name="TARG119">#REF!</definedName>
    <definedName name="TARG120">#REF!</definedName>
    <definedName name="TARG121">#REF!</definedName>
    <definedName name="TARG122">#REF!</definedName>
    <definedName name="TARG123">#REF!</definedName>
    <definedName name="TARG124">#REF!</definedName>
    <definedName name="TARG125">#REF!</definedName>
    <definedName name="TARG126">#REF!</definedName>
    <definedName name="TARG127">#REF!</definedName>
    <definedName name="TARG128">#REF!</definedName>
    <definedName name="TARG129">#REF!</definedName>
    <definedName name="TARG130">#REF!</definedName>
    <definedName name="TARG131">#REF!</definedName>
    <definedName name="TARG132">#REF!</definedName>
    <definedName name="TARG133">#REF!</definedName>
    <definedName name="TARG134">#REF!</definedName>
    <definedName name="TARG135">#REF!</definedName>
    <definedName name="TARG136">#REF!</definedName>
    <definedName name="TARG137">#REF!</definedName>
    <definedName name="TARG138">#REF!</definedName>
    <definedName name="TARG139">#REF!</definedName>
    <definedName name="TARG140">#REF!</definedName>
    <definedName name="TARG141">#REF!</definedName>
    <definedName name="TARG142">#REF!</definedName>
    <definedName name="TARG143">#REF!</definedName>
    <definedName name="TARG144">#REF!</definedName>
    <definedName name="TARG145">#REF!</definedName>
    <definedName name="TARG146">#REF!</definedName>
    <definedName name="TARG147">#REF!</definedName>
    <definedName name="TARG148">#REF!</definedName>
    <definedName name="TARG149">#REF!</definedName>
    <definedName name="TARG150">#REF!</definedName>
    <definedName name="TARG151">#REF!</definedName>
    <definedName name="TARG152">#REF!</definedName>
    <definedName name="TARG153">#REF!</definedName>
    <definedName name="TARG154">#REF!</definedName>
    <definedName name="TARG155">#REF!</definedName>
    <definedName name="TARG156">#REF!</definedName>
    <definedName name="TARG157">#REF!</definedName>
    <definedName name="TARG158">#REF!</definedName>
    <definedName name="TARG159">#REF!</definedName>
    <definedName name="TARG160">#REF!</definedName>
    <definedName name="TARG161">#REF!</definedName>
    <definedName name="TARG162">#REF!</definedName>
    <definedName name="TARG163">#REF!</definedName>
    <definedName name="TARG164">#REF!</definedName>
    <definedName name="TARG165">#REF!</definedName>
    <definedName name="TARG166">#REF!</definedName>
    <definedName name="TARG167">#REF!</definedName>
    <definedName name="TARG168">#REF!</definedName>
    <definedName name="TARG169">#REF!</definedName>
    <definedName name="TARG170">#REF!</definedName>
    <definedName name="TARG171">#REF!</definedName>
    <definedName name="TARG172">#REF!</definedName>
    <definedName name="TARG173">#REF!</definedName>
    <definedName name="TARG174">#REF!</definedName>
    <definedName name="TARG175">#REF!</definedName>
    <definedName name="TARG176">#REF!</definedName>
    <definedName name="TARG177">#REF!</definedName>
    <definedName name="TARG178">#REF!</definedName>
    <definedName name="TARG179">#REF!</definedName>
    <definedName name="TARG180">#REF!</definedName>
    <definedName name="TARG181">#REF!</definedName>
    <definedName name="TARG182">#REF!</definedName>
    <definedName name="TARG183">#REF!</definedName>
    <definedName name="TARG184">#REF!</definedName>
    <definedName name="TARG185">#REF!</definedName>
    <definedName name="TARG186">#REF!</definedName>
    <definedName name="TARG187">#REF!</definedName>
    <definedName name="TARG188">#REF!</definedName>
    <definedName name="TARG189">#REF!</definedName>
    <definedName name="TARG190">#REF!</definedName>
    <definedName name="TARG191">#REF!</definedName>
    <definedName name="TARG192">#REF!</definedName>
    <definedName name="vcop1" localSheetId="0">#REF!</definedName>
    <definedName name="vcop1">#REF!</definedName>
    <definedName name="vcop2" localSheetId="0">#REF!</definedName>
    <definedName name="vcop2">#REF!</definedName>
    <definedName name="vcop3" localSheetId="0">#REF!</definedName>
    <definedName name="vcop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0" l="1"/>
  <c r="E8" i="10"/>
  <c r="F8" i="10"/>
  <c r="G8" i="10"/>
  <c r="C8" i="10"/>
  <c r="D8" i="9"/>
  <c r="E8" i="9"/>
  <c r="F8" i="9"/>
  <c r="G8" i="9"/>
  <c r="C8" i="9"/>
  <c r="D8" i="8"/>
  <c r="E8" i="8"/>
  <c r="F8" i="8"/>
  <c r="G8" i="8"/>
  <c r="C8" i="8"/>
  <c r="D8" i="7"/>
  <c r="E8" i="7"/>
  <c r="F8" i="7"/>
  <c r="G8" i="7"/>
  <c r="C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374B87-5538-544A-B715-9AAD94A72F72}" keepAlive="1" name="Query - Inactivity" description="Connection to the 'Inactivity' query in the workbook." type="5" refreshedVersion="8" background="1" saveData="1">
    <dbPr connection="Provider=Microsoft.Mashup.OleDb.1;Data Source=$Workbook$;Location=Inactivity;Extended Properties=&quot;&quot;" command="SELECT * FROM [Inactivity]"/>
  </connection>
  <connection id="2" xr16:uid="{CD6E3388-05D8-1A43-9C96-6CF188373915}" keepAlive="1" name="Query - Unemployment" description="Connection to the 'Unemployment' query in the workbook." type="5" refreshedVersion="8" background="1" saveData="1">
    <dbPr connection="Provider=Microsoft.Mashup.OleDb.1;Data Source=$Workbook$;Location=Unemployment;Extended Properties=&quot;&quot;" command="SELECT * FROM [Unemployment]"/>
  </connection>
  <connection id="3" xr16:uid="{8724BF5E-96F6-7B43-8293-85616B0D6F14}" keepAlive="1" name="Query - Working_Age_Labour_Status_Level" description="Connection to the 'Working_Age_Labour_Status_Level' query in the workbook." type="5" refreshedVersion="8" background="1" saveData="1">
    <dbPr connection="Provider=Microsoft.Mashup.OleDb.1;Data Source=$Workbook$;Location=Working_Age_Labour_Status_Level;Extended Properties=&quot;&quot;" command="SELECT * FROM [Working_Age_Labour_Status_Level]"/>
  </connection>
</connections>
</file>

<file path=xl/sharedStrings.xml><?xml version="1.0" encoding="utf-8"?>
<sst xmlns="http://schemas.openxmlformats.org/spreadsheetml/2006/main" count="354" uniqueCount="30">
  <si>
    <t>IMPORTANT NOTE:</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</si>
  <si>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We recommend using LFS estimates as part of our suite of labour market indicators, alongside Workforce Jobs, Claimant Count and Pay As You Earn Real Time Information (PAYE RTI) estimates. </t>
  </si>
  <si>
    <t>These are official statistics in development.
For further information, please see our Impact of reweighting on Labour Force Survey key indicators article:</t>
  </si>
  <si>
    <t>https://www.ons.gov.uk/releases/impactofreweightingonlabourforcesurveykeyindicatorsdecember2024</t>
  </si>
  <si>
    <t>Reference:</t>
  </si>
  <si>
    <t>https://www.ons.gov.uk/employmentandlabourmarket/peopleinwork/employmentandemployeetypes/datasets/employmentunemploymentandeconomicinactivitybyagegroupnotseasonallyadjusteda05nsa/current?</t>
  </si>
  <si>
    <t>Aged 16-17</t>
  </si>
  <si>
    <t>Aged 18-24</t>
  </si>
  <si>
    <t>Aged 25-34</t>
  </si>
  <si>
    <t>Aged 35-49</t>
  </si>
  <si>
    <t>Aged 50-64</t>
  </si>
  <si>
    <t>Age 65+</t>
  </si>
  <si>
    <t>Employment</t>
  </si>
  <si>
    <t>Unemployment</t>
  </si>
  <si>
    <t>Activity</t>
  </si>
  <si>
    <t>Inactivity</t>
  </si>
  <si>
    <t>level</t>
  </si>
  <si>
    <t>rate (%)</t>
  </si>
  <si>
    <t>2018-19</t>
  </si>
  <si>
    <t>2019-20</t>
  </si>
  <si>
    <t>2020-21</t>
  </si>
  <si>
    <t>2021-22</t>
  </si>
  <si>
    <t>2022-23</t>
  </si>
  <si>
    <t>Total</t>
  </si>
  <si>
    <t xml:space="preserve">Total </t>
  </si>
  <si>
    <t>level = Number of people</t>
  </si>
  <si>
    <t>Age</t>
  </si>
  <si>
    <t>Age Group</t>
  </si>
  <si>
    <t>Indicator</t>
  </si>
  <si>
    <t>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</si>
</sst>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12" x14ac:knownFonts="1">
    <font>
      <sz val="10"/>
      <color rgb="FF000000"/>
      <name val="Arial"/>
      <scheme val="minor"/>
    </font>
    <font>
      <b/>
      <sz val="26"/>
      <color theme="1"/>
      <name val="Arial"/>
      <family val="2"/>
    </font>
    <font>
      <sz val="10"/>
      <color theme="1"/>
      <name val="Arial"/>
      <family val="2"/>
    </font>
    <font>
      <b/>
      <sz val="10"/>
      <color theme="1"/>
      <name val="Arial"/>
      <family val="2"/>
    </font>
    <font>
      <sz val="11"/>
      <color theme="1"/>
      <name val="Arial"/>
      <family val="2"/>
    </font>
    <font>
      <sz val="12"/>
      <color theme="1"/>
      <name val="Arial"/>
      <family val="2"/>
    </font>
    <font>
      <b/>
      <u/>
      <sz val="10"/>
      <color rgb="FF0000FF"/>
      <name val="Arial"/>
      <family val="2"/>
    </font>
    <font>
      <u/>
      <sz val="10"/>
      <color rgb="FF0000FF"/>
      <name val="Arial"/>
      <family val="2"/>
    </font>
    <font>
      <sz val="8"/>
      <name val="Arial"/>
      <family val="2"/>
      <scheme val="minor"/>
    </font>
    <font>
      <b/>
      <sz val="10"/>
      <color rgb="FF000000"/>
      <name val="Arial"/>
      <family val="2"/>
      <scheme val="minor"/>
    </font>
    <font>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theme="0"/>
        <bgColor theme="0"/>
      </patternFill>
    </fill>
  </fills>
  <borders count="2">
    <border>
      <left/>
      <right/>
      <top/>
      <bottom/>
      <diagonal/>
    </border>
    <border>
      <left/>
      <right/>
      <top/>
      <bottom/>
      <diagonal/>
    </border>
  </borders>
  <cellStyleXfs count="2">
    <xf numFmtId="0" fontId="0" fillId="0" borderId="0"/>
    <xf numFmtId="41" fontId="10" fillId="0" borderId="0" applyFont="0" applyFill="0" applyBorder="0" applyAlignment="0" applyProtection="0"/>
  </cellStyleXfs>
  <cellXfs count="18">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applyAlignment="1">
      <alignment vertical="center" wrapText="1"/>
    </xf>
    <xf numFmtId="0" fontId="4" fillId="2" borderId="1" xfId="0" applyFont="1" applyFill="1" applyBorder="1" applyAlignment="1">
      <alignment wrapText="1"/>
    </xf>
    <xf numFmtId="0" fontId="4" fillId="2" borderId="1" xfId="0" applyFont="1" applyFill="1" applyBorder="1"/>
    <xf numFmtId="0" fontId="5" fillId="2" borderId="1" xfId="0" applyFont="1" applyFill="1" applyBorder="1"/>
    <xf numFmtId="0" fontId="6" fillId="2" borderId="1" xfId="0" applyFont="1" applyFill="1" applyBorder="1" applyAlignment="1">
      <alignment vertical="center"/>
    </xf>
    <xf numFmtId="0" fontId="3" fillId="2" borderId="1" xfId="0" applyFont="1" applyFill="1" applyBorder="1"/>
    <xf numFmtId="0" fontId="7" fillId="2" borderId="1" xfId="0" applyFont="1" applyFill="1" applyBorder="1"/>
    <xf numFmtId="0" fontId="9" fillId="0" borderId="0" xfId="0" applyFont="1"/>
    <xf numFmtId="0" fontId="11" fillId="0" borderId="0" xfId="0" applyFont="1"/>
    <xf numFmtId="41" fontId="0" fillId="0" borderId="0" xfId="1" applyFont="1"/>
    <xf numFmtId="41" fontId="9" fillId="0" borderId="0" xfId="1" applyFont="1"/>
    <xf numFmtId="41" fontId="11" fillId="0" borderId="0" xfId="1" applyFont="1"/>
    <xf numFmtId="0" fontId="10" fillId="0" borderId="0" xfId="0" applyFont="1"/>
    <xf numFmtId="0" fontId="10" fillId="0" borderId="0" xfId="0" applyFont="1" applyAlignment="1">
      <alignment horizontal="center"/>
    </xf>
    <xf numFmtId="0" fontId="0" fillId="0" borderId="0" xfId="0" applyNumberFormat="1"/>
  </cellXfs>
  <cellStyles count="2">
    <cellStyle name="Comma [0]" xfId="1" builtinId="6"/>
    <cellStyle name="Normal" xfId="0" builtinId="0"/>
  </cellStyles>
  <dxfs count="3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57A0D849-9C11-D244-9B30-7A4110058DF0}" autoFormatId="16" applyNumberFormats="0" applyBorderFormats="0" applyFontFormats="0" applyPatternFormats="0" applyAlignmentFormats="0" applyWidthHeightFormats="0">
  <queryTableRefresh nextId="8">
    <queryTableFields count="7">
      <queryTableField id="1" name="Age" tableColumnId="1"/>
      <queryTableField id="2" name="Indicator" tableColumnId="2"/>
      <queryTableField id="3" name="2018-19" tableColumnId="3"/>
      <queryTableField id="4" name="2019-20" tableColumnId="4"/>
      <queryTableField id="5" name="2020-21" tableColumnId="5"/>
      <queryTableField id="6" name="2021-22" tableColumnId="6"/>
      <queryTableField id="7" name="2022-23" tableColumnId="7"/>
    </queryTableFields>
  </queryTableRefresh>
</queryTable>
</file>

<file path=xl/tables/_rels/table10.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364484-C714-974D-B2DF-6ACAC8B20492}" name="People" displayName="People" ref="A1:H49">
  <autoFilter ref="A1:H49" xr:uid="{4A364484-C714-974D-B2DF-6ACAC8B20492}"/>
  <tableColumns count="8">
    <tableColumn id="1" xr3:uid="{7B6A8158-0B8F-DC42-8649-844260A0410A}" name="Age Group" totalsRowLabel="Total" dataDxfId="34"/>
    <tableColumn id="2" xr3:uid="{6816491D-B77B-B94E-9AC9-132E74567FE1}" name="Indicator" dataDxfId="33"/>
    <tableColumn id="3" xr3:uid="{8577DC78-4174-024D-A9C1-4EA6A0969318}" name="Measure" dataDxfId="32"/>
    <tableColumn id="4" xr3:uid="{B73F3EAC-0B0C-EF41-A87D-05A66C08F577}" name="2018-19"/>
    <tableColumn id="5" xr3:uid="{2ED3F0FC-09DB-244C-8F12-83E4963DF31A}" name="2019-20"/>
    <tableColumn id="6" xr3:uid="{C42089C1-BEB9-6348-A365-2E0237D8048E}" name="2020-21"/>
    <tableColumn id="7" xr3:uid="{8DFFAD80-4ED6-B448-980D-1165EDF4E880}" name="2021-22"/>
    <tableColumn id="8" xr3:uid="{CAE2285D-0CCB-C246-8278-5BB53EADEC0F}" name="2022-23" totalsRowFunction="cou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B05618-2B30-CD49-BA3B-3DF5551DE4B1}" name="Employment" displayName="Employment" ref="A1:G8" totalsRowShown="0" headerRowDxfId="31" dataDxfId="30">
  <autoFilter ref="A1:G8" xr:uid="{1FB05618-2B30-CD49-BA3B-3DF5551DE4B1}"/>
  <tableColumns count="7">
    <tableColumn id="1" xr3:uid="{A919398F-5188-354D-8331-0A65969F8C72}" name="Age" dataDxfId="29"/>
    <tableColumn id="2" xr3:uid="{391BAC24-9EFD-5E46-AC79-BF9F57F6A51B}" name="Indicator" dataDxfId="28"/>
    <tableColumn id="4" xr3:uid="{584B2634-3124-3641-9C36-7CEF12B08468}" name="2018-19" dataDxfId="27" dataCellStyle="Comma [0]"/>
    <tableColumn id="5" xr3:uid="{07363975-6D94-5541-8BAE-F8DBB3BC5D68}" name="2019-20" dataDxfId="26" dataCellStyle="Comma [0]"/>
    <tableColumn id="6" xr3:uid="{CA49F3B2-4431-DB41-A61D-47896DEE9F17}" name="2020-21" dataDxfId="25" dataCellStyle="Comma [0]"/>
    <tableColumn id="7" xr3:uid="{6FA0C4C0-F1EB-7241-9612-0DE3704A268C}" name="2021-22" dataDxfId="24" dataCellStyle="Comma [0]"/>
    <tableColumn id="8" xr3:uid="{702A132A-969D-A945-A4EC-29E3923FF414}" name="2022-23" dataDxfId="23" dataCellStyle="Comma [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2D5988-F3C7-5049-9271-64466BEF7DEF}" name="Unemployment" displayName="Unemployment" ref="A1:G8" totalsRowShown="0">
  <autoFilter ref="A1:G8" xr:uid="{992D5988-F3C7-5049-9271-64466BEF7DEF}"/>
  <tableColumns count="7">
    <tableColumn id="1" xr3:uid="{81B0045A-884F-1148-8E46-D0C8771971B5}" name="Age" dataDxfId="22"/>
    <tableColumn id="2" xr3:uid="{A873A733-E55D-2F43-A5D7-CAD0B99698D8}" name="Indicator" dataDxfId="21"/>
    <tableColumn id="4" xr3:uid="{3C572193-05E7-7444-ADE7-C0BF1D2D2D08}" name="2018-19" dataCellStyle="Comma [0]"/>
    <tableColumn id="5" xr3:uid="{4D675FD0-FF37-7F41-8191-1952A104C1A8}" name="2019-20" dataCellStyle="Comma [0]"/>
    <tableColumn id="6" xr3:uid="{8B1F3D7F-80DA-3A49-830C-CF2735B3F93B}" name="2020-21" dataCellStyle="Comma [0]"/>
    <tableColumn id="7" xr3:uid="{76BA080D-5CF3-294C-8AB2-FB845B7A2558}" name="2021-22" dataCellStyle="Comma [0]"/>
    <tableColumn id="8" xr3:uid="{650F98A4-C1DE-104A-87B1-9983081BB509}" name="2022-23" dataCellStyle="Comma [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F5D2AF-1D3C-E047-B7D3-0DB505991DF6}" name="Activity" displayName="Activity" ref="A1:G8" totalsRowShown="0">
  <autoFilter ref="A1:G8" xr:uid="{45F5D2AF-1D3C-E047-B7D3-0DB505991DF6}"/>
  <tableColumns count="7">
    <tableColumn id="1" xr3:uid="{C39EE294-860D-3646-9279-8B4412D53FFC}" name="Age" dataDxfId="20"/>
    <tableColumn id="2" xr3:uid="{22C230D7-E3AA-A04C-BE2D-A335BC4EE0A7}" name="Indicator" dataDxfId="19"/>
    <tableColumn id="4" xr3:uid="{553AD31C-AE58-254E-BB4A-4CF45F471166}" name="2018-19" dataCellStyle="Comma [0]"/>
    <tableColumn id="5" xr3:uid="{20D6B041-7D05-A84C-8184-7DDAA6A961C0}" name="2019-20" dataCellStyle="Comma [0]"/>
    <tableColumn id="6" xr3:uid="{DDD85BFE-26C2-9C4A-8170-72E0DDBF1F35}" name="2020-21" dataCellStyle="Comma [0]"/>
    <tableColumn id="7" xr3:uid="{66AF2F7F-FAA1-6B4D-84B5-CA954088571D}" name="2021-22" dataCellStyle="Comma [0]"/>
    <tableColumn id="8" xr3:uid="{5339501A-8372-BE40-A947-687554D75BA9}" name="2022-23" dataCellStyle="Comma [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212FE3-B7CC-E645-998A-AAEB82203BE3}" name="Inactivity" displayName="Inactivity" ref="A1:G8" totalsRowShown="0">
  <autoFilter ref="A1:G8" xr:uid="{2E212FE3-B7CC-E645-998A-AAEB82203BE3}"/>
  <tableColumns count="7">
    <tableColumn id="1" xr3:uid="{ADEE08CE-C2EA-9243-BBC7-57E9E966FBDC}" name="Age" dataDxfId="18"/>
    <tableColumn id="2" xr3:uid="{85666443-123B-5148-B5CF-86443F842B85}" name="Indicator" dataDxfId="17"/>
    <tableColumn id="4" xr3:uid="{42694E3B-C62B-314A-B5D5-7B8D4A6761D5}" name="2018-19" dataCellStyle="Comma [0]"/>
    <tableColumn id="5" xr3:uid="{0DEE2BEA-C2C3-8B4D-B036-0E0ABCC7E98B}" name="2019-20" dataCellStyle="Comma [0]"/>
    <tableColumn id="6" xr3:uid="{61EEE78E-8E3B-E34B-9F7C-2698FBDA5ECE}" name="2020-21" dataCellStyle="Comma [0]"/>
    <tableColumn id="7" xr3:uid="{E4D4E189-7084-A946-9EA6-7C5A2BAF8624}" name="2021-22" dataCellStyle="Comma [0]"/>
    <tableColumn id="8" xr3:uid="{DB4F0DD4-E414-0F49-BAC4-7B51A981028E}" name="2022-23" dataCellStyle="Comma [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6FEFE6-25C1-7A45-925B-2B2CC3DEC07B}" name="Employment_1" displayName="Employment_1" ref="A1:H7" totalsRowShown="0">
  <autoFilter ref="A1:H7" xr:uid="{096FEFE6-25C1-7A45-925B-2B2CC3DEC07B}"/>
  <tableColumns count="8">
    <tableColumn id="1" xr3:uid="{CB30F5B1-646A-884D-96F0-F427205140D1}" name="Age Group" dataDxfId="16"/>
    <tableColumn id="2" xr3:uid="{D4D59906-6E7A-684B-87D4-16398A064A7A}" name="Indicator" dataDxfId="15"/>
    <tableColumn id="3" xr3:uid="{CC05D37A-9A12-7B45-A9AE-4B56E283A209}" name="Measure" dataDxfId="14"/>
    <tableColumn id="4" xr3:uid="{C95CCCFD-DF3E-ED4E-A43C-49556961C541}" name="2018-19"/>
    <tableColumn id="5" xr3:uid="{1AB95FD4-62BF-024A-8BB5-E0AEF55E8BDA}" name="2019-20"/>
    <tableColumn id="6" xr3:uid="{370A5D53-3607-0045-9E21-37955914B2D6}" name="2020-21"/>
    <tableColumn id="7" xr3:uid="{35A010B1-FB18-7D46-9BF3-261E4E0D5FE7}" name="2021-22"/>
    <tableColumn id="8" xr3:uid="{CC00D046-4D8E-594E-BE40-FB6A9C7DF46E}" name="2022-2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8B938F-FBEF-B248-8F35-C3131533F7A3}" name="Unemployment_1" displayName="Unemployment_1" ref="A1:H7" totalsRowShown="0">
  <autoFilter ref="A1:H7" xr:uid="{6E8B938F-FBEF-B248-8F35-C3131533F7A3}"/>
  <tableColumns count="8">
    <tableColumn id="1" xr3:uid="{14485DB8-CBD2-3D41-9077-E7D8D2DB130F}" name="Age Group" dataDxfId="13"/>
    <tableColumn id="2" xr3:uid="{1E4E9235-83D1-124C-A999-5D07462D07FC}" name="Indicator" dataDxfId="12"/>
    <tableColumn id="3" xr3:uid="{485FD7C1-6624-734C-9180-EBFE3A3F94A6}" name="Measure" dataDxfId="11"/>
    <tableColumn id="4" xr3:uid="{3234FD37-0F76-FF4A-926F-8DCB189125F0}" name="2018-19"/>
    <tableColumn id="5" xr3:uid="{D1A13F75-6BFF-EE4A-B676-EC93BC909A50}" name="2019-20"/>
    <tableColumn id="6" xr3:uid="{AC2B2C61-15C6-1A40-A88C-3FC60D1A5F2E}" name="2020-21"/>
    <tableColumn id="7" xr3:uid="{72F4E0D8-93B2-CD42-8A23-9E230222775C}" name="2021-22"/>
    <tableColumn id="8" xr3:uid="{CE79AFDB-1D88-9C45-8979-ED19ACC9AD8C}" name="2022-23"/>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022C3C-2662-4845-9580-762E6537C976}" name="Activity_1" displayName="Activity_1" ref="A1:H7" totalsRowShown="0">
  <autoFilter ref="A1:H7" xr:uid="{2B022C3C-2662-4845-9580-762E6537C976}"/>
  <tableColumns count="8">
    <tableColumn id="1" xr3:uid="{8265BA7A-568C-F249-9E5F-C847742DD66D}" name="Age Group" dataDxfId="10"/>
    <tableColumn id="2" xr3:uid="{F2E42BBF-FEA9-B04E-AB63-8C00062C18FC}" name="Indicator" dataDxfId="9"/>
    <tableColumn id="3" xr3:uid="{4D683FAF-C2B4-2843-9802-D868E38573F7}" name="Measure" dataDxfId="8"/>
    <tableColumn id="4" xr3:uid="{792171D1-2F39-E940-A047-8BA91B85F41C}" name="2018-19"/>
    <tableColumn id="5" xr3:uid="{281B435F-E68C-EF4B-A11B-0F777EF92484}" name="2019-20"/>
    <tableColumn id="6" xr3:uid="{3BCD2DF7-1C22-B242-B9DB-2546C020A918}" name="2020-21"/>
    <tableColumn id="7" xr3:uid="{82B5DE0C-F293-2247-80E3-4C55545B1E45}" name="2021-22"/>
    <tableColumn id="8" xr3:uid="{6040071E-2D56-5C4A-9A7E-6348EAEDFC27}" name="2022-23"/>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2F3D0CA-245E-544E-BE99-616C8A3BD1E0}" name="Inactivity_1" displayName="Inactivity_1" ref="A1:H7" totalsRowShown="0">
  <autoFilter ref="A1:H7" xr:uid="{A2F3D0CA-245E-544E-BE99-616C8A3BD1E0}"/>
  <tableColumns count="8">
    <tableColumn id="1" xr3:uid="{AB837F76-1496-7640-BE8F-68AE279D8EFE}" name="Age Group" dataDxfId="7"/>
    <tableColumn id="2" xr3:uid="{9D2EA5E3-9122-CF4B-9456-CFCAC94B446E}" name="Indicator" dataDxfId="6"/>
    <tableColumn id="3" xr3:uid="{AF3A7F01-12EF-694F-B093-1E055FC6D188}" name="Measure" dataDxfId="5"/>
    <tableColumn id="4" xr3:uid="{4B59F462-4CC8-CD40-A892-5B2DD028DE49}" name="2018-19"/>
    <tableColumn id="5" xr3:uid="{1B8799E0-3BBF-D64B-B2F4-635CF914E822}" name="2019-20"/>
    <tableColumn id="6" xr3:uid="{C0E32CED-C52F-234A-B13A-2C3A41474301}" name="2020-21"/>
    <tableColumn id="7" xr3:uid="{34055565-DD5E-C745-8196-172170C7E097}" name="2021-22"/>
    <tableColumn id="8" xr3:uid="{AF55F290-1416-E849-8BF8-316500A82D9C}" name="2022-23"/>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EB4F437-C1BD-5342-A722-C253022C1339}" name="Working_Age_Labour_Status_Level" displayName="Working_Age_Labour_Status_Level" ref="A1:G15" tableType="queryTable" totalsRowShown="0">
  <autoFilter ref="A1:G15" xr:uid="{AEB4F437-C1BD-5342-A722-C253022C1339}"/>
  <tableColumns count="7">
    <tableColumn id="1" xr3:uid="{CF7A938A-5A1C-2942-93CD-B6887B813FFC}" uniqueName="1" name="Age" queryTableFieldId="1" dataDxfId="1"/>
    <tableColumn id="2" xr3:uid="{9312D1B3-E67E-8442-8E79-E4382BC41772}" uniqueName="2" name="Indicator" queryTableFieldId="2" dataDxfId="0"/>
    <tableColumn id="3" xr3:uid="{BFA01612-BF91-3E4C-8C4F-90F7E7335D57}" uniqueName="3" name="2018-19" queryTableFieldId="3"/>
    <tableColumn id="4" xr3:uid="{26A4F2EB-A0A7-3945-B614-7114023CEC55}" uniqueName="4" name="2019-20" queryTableFieldId="4"/>
    <tableColumn id="5" xr3:uid="{76B30098-7990-3047-8902-6B7FAE9F72BC}" uniqueName="5" name="2020-21" queryTableFieldId="5"/>
    <tableColumn id="6" xr3:uid="{DD6D1C91-1AC6-8F45-ADC0-0ABD1AF27E65}" uniqueName="6" name="2021-22" queryTableFieldId="6"/>
    <tableColumn id="7" xr3:uid="{44FC676E-029B-F64F-9D28-793A1605C515}" uniqueName="7" name="2022-23" queryTableFieldId="7"/>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8B973D0-D6A5-7941-BE31-8213D2CA2288}" name="Working_Age_Labour_Status_Rate" displayName="Working_Age_Labour_Status_Rate" ref="A1:H13" totalsRowShown="0">
  <autoFilter ref="A1:H13" xr:uid="{88B973D0-D6A5-7941-BE31-8213D2CA2288}"/>
  <tableColumns count="8">
    <tableColumn id="1" xr3:uid="{30392158-29D3-2C4D-A7BB-01B8C35688F6}" name="Age Group" dataDxfId="4"/>
    <tableColumn id="2" xr3:uid="{0F068301-EF7A-9941-BF04-F31F53909A88}" name="Indicator" dataDxfId="3"/>
    <tableColumn id="3" xr3:uid="{386F8714-DC57-7641-8CCA-D5E81C6C129A}" name="Measure" dataDxfId="2"/>
    <tableColumn id="4" xr3:uid="{70CB2498-86E1-5A41-A0B6-F97D5FACB436}" name="2018-19"/>
    <tableColumn id="5" xr3:uid="{74DE0F95-5E06-1841-86CC-EDDE2EB23D24}" name="2019-20"/>
    <tableColumn id="6" xr3:uid="{872DE74B-FE4C-A64A-8BF6-7271C083C80E}" name="2020-21"/>
    <tableColumn id="7" xr3:uid="{33B127F1-9E60-F541-B9FC-83A83990C07A}" name="2021-22"/>
    <tableColumn id="8" xr3:uid="{1B72D38F-FEB0-384C-87BB-03A766B9E13D}" name="2022-23"/>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ons.gov.uk/employmentandlabourmarket/peopleinwork/employmentandemployeetypes/datasets/employmentunemploymentandeconomicinactivitybyagegroupnotseasonallyadjusteda05nsa/current?" TargetMode="External"/><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173" zoomScaleNormal="100" workbookViewId="0"/>
  </sheetViews>
  <sheetFormatPr baseColWidth="10" defaultColWidth="12.6640625" defaultRowHeight="15" customHeight="1" x14ac:dyDescent="0.15"/>
  <cols>
    <col min="1" max="1" width="101.1640625" customWidth="1"/>
    <col min="2" max="13" width="8.6640625" customWidth="1"/>
    <col min="14" max="26" width="10" customWidth="1"/>
  </cols>
  <sheetData>
    <row r="1" spans="1:26" ht="35.2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8.25" customHeight="1" x14ac:dyDescent="0.15">
      <c r="A2" s="2"/>
      <c r="B2" s="2"/>
      <c r="C2" s="2"/>
      <c r="D2" s="2"/>
      <c r="E2" s="2"/>
      <c r="F2" s="2"/>
      <c r="G2" s="2"/>
      <c r="H2" s="2"/>
      <c r="I2" s="2"/>
      <c r="J2" s="2"/>
      <c r="K2" s="2"/>
      <c r="L2" s="2"/>
      <c r="M2" s="2"/>
      <c r="N2" s="2"/>
      <c r="O2" s="2"/>
      <c r="P2" s="2"/>
      <c r="Q2" s="2"/>
      <c r="R2" s="2"/>
      <c r="S2" s="2"/>
      <c r="T2" s="2"/>
      <c r="U2" s="2"/>
      <c r="V2" s="2"/>
      <c r="W2" s="2"/>
      <c r="X2" s="2"/>
      <c r="Y2" s="2"/>
      <c r="Z2" s="2"/>
    </row>
    <row r="3" spans="1:26" ht="327" customHeight="1" x14ac:dyDescent="0.15">
      <c r="A3" s="3" t="s">
        <v>1</v>
      </c>
      <c r="B3" s="4"/>
      <c r="C3" s="4"/>
      <c r="D3" s="4"/>
      <c r="E3" s="4"/>
      <c r="F3" s="4"/>
      <c r="G3" s="4"/>
      <c r="H3" s="4"/>
      <c r="I3" s="4"/>
      <c r="J3" s="4"/>
      <c r="K3" s="5"/>
      <c r="L3" s="5"/>
      <c r="M3" s="5"/>
      <c r="N3" s="5"/>
      <c r="O3" s="5"/>
      <c r="P3" s="5"/>
      <c r="Q3" s="5"/>
      <c r="R3" s="5"/>
      <c r="S3" s="5"/>
      <c r="T3" s="5"/>
      <c r="U3" s="5"/>
      <c r="V3" s="5"/>
      <c r="W3" s="5"/>
      <c r="X3" s="5"/>
      <c r="Y3" s="5"/>
      <c r="Z3" s="5"/>
    </row>
    <row r="4" spans="1:26" ht="40.5" customHeight="1" x14ac:dyDescent="0.2">
      <c r="A4" s="3" t="s">
        <v>2</v>
      </c>
      <c r="B4" s="6"/>
      <c r="C4" s="6"/>
      <c r="D4" s="6"/>
      <c r="E4" s="6"/>
      <c r="F4" s="6"/>
      <c r="G4" s="6"/>
      <c r="H4" s="6"/>
      <c r="I4" s="6"/>
      <c r="J4" s="6"/>
      <c r="K4" s="6"/>
      <c r="L4" s="6"/>
      <c r="M4" s="6"/>
      <c r="N4" s="2"/>
      <c r="O4" s="2"/>
      <c r="P4" s="2"/>
      <c r="Q4" s="2"/>
      <c r="R4" s="2"/>
      <c r="S4" s="2"/>
      <c r="T4" s="2"/>
      <c r="U4" s="2"/>
      <c r="V4" s="2"/>
      <c r="W4" s="2"/>
      <c r="X4" s="2"/>
      <c r="Y4" s="2"/>
      <c r="Z4" s="2"/>
    </row>
    <row r="5" spans="1:26" ht="12.75" customHeight="1" x14ac:dyDescent="0.15">
      <c r="A5" s="7" t="s">
        <v>3</v>
      </c>
      <c r="B5" s="2"/>
      <c r="C5" s="2"/>
      <c r="D5" s="2"/>
      <c r="E5" s="2"/>
      <c r="F5" s="2"/>
      <c r="G5" s="2"/>
      <c r="H5" s="2"/>
      <c r="I5" s="2"/>
      <c r="J5" s="2"/>
      <c r="K5" s="2"/>
      <c r="L5" s="2"/>
      <c r="M5" s="2"/>
      <c r="N5" s="2"/>
      <c r="O5" s="2"/>
      <c r="P5" s="2"/>
      <c r="Q5" s="2"/>
      <c r="R5" s="2"/>
      <c r="S5" s="2"/>
      <c r="T5" s="2"/>
      <c r="U5" s="2"/>
      <c r="V5" s="2"/>
      <c r="W5" s="2"/>
      <c r="X5" s="2"/>
      <c r="Y5" s="2"/>
      <c r="Z5" s="2"/>
    </row>
    <row r="6" spans="1:26" ht="12.75" customHeight="1" x14ac:dyDescent="0.15">
      <c r="A6" s="2"/>
      <c r="B6" s="2"/>
      <c r="C6" s="2"/>
      <c r="D6" s="2"/>
      <c r="E6" s="2"/>
      <c r="F6" s="2"/>
      <c r="G6" s="2"/>
      <c r="H6" s="2"/>
      <c r="I6" s="2"/>
      <c r="J6" s="2"/>
      <c r="K6" s="2"/>
      <c r="L6" s="2"/>
      <c r="M6" s="2"/>
      <c r="N6" s="2"/>
      <c r="O6" s="2"/>
      <c r="P6" s="2"/>
      <c r="Q6" s="2"/>
      <c r="R6" s="2"/>
      <c r="S6" s="2"/>
      <c r="T6" s="2"/>
      <c r="U6" s="2"/>
      <c r="V6" s="2"/>
      <c r="W6" s="2"/>
      <c r="X6" s="2"/>
      <c r="Y6" s="2"/>
      <c r="Z6" s="2"/>
    </row>
    <row r="7" spans="1:26" ht="12.75" customHeight="1" x14ac:dyDescent="0.15">
      <c r="A7" s="8" t="s">
        <v>4</v>
      </c>
      <c r="B7" s="2"/>
      <c r="C7" s="2"/>
      <c r="D7" s="2"/>
      <c r="E7" s="2"/>
      <c r="F7" s="2"/>
      <c r="G7" s="2"/>
      <c r="H7" s="2"/>
      <c r="I7" s="2"/>
      <c r="J7" s="2"/>
      <c r="K7" s="2"/>
      <c r="L7" s="2"/>
      <c r="M7" s="2"/>
      <c r="N7" s="2"/>
      <c r="O7" s="2"/>
      <c r="P7" s="2"/>
      <c r="Q7" s="2"/>
      <c r="R7" s="2"/>
      <c r="S7" s="2"/>
      <c r="T7" s="2"/>
      <c r="U7" s="2"/>
      <c r="V7" s="2"/>
      <c r="W7" s="2"/>
      <c r="X7" s="2"/>
      <c r="Y7" s="2"/>
      <c r="Z7" s="2"/>
    </row>
    <row r="8" spans="1:26" ht="12.75" customHeight="1" x14ac:dyDescent="0.15">
      <c r="A8" s="9" t="s">
        <v>5</v>
      </c>
      <c r="B8" s="2"/>
      <c r="C8" s="2"/>
      <c r="D8" s="2"/>
      <c r="E8" s="2"/>
      <c r="F8" s="2"/>
      <c r="G8" s="2"/>
      <c r="H8" s="2"/>
      <c r="I8" s="2"/>
      <c r="J8" s="2"/>
      <c r="K8" s="2"/>
      <c r="L8" s="2"/>
      <c r="M8" s="2"/>
      <c r="N8" s="2"/>
      <c r="O8" s="2"/>
      <c r="P8" s="2"/>
      <c r="Q8" s="2"/>
      <c r="R8" s="2"/>
      <c r="S8" s="2"/>
      <c r="T8" s="2"/>
      <c r="U8" s="2"/>
      <c r="V8" s="2"/>
      <c r="W8" s="2"/>
      <c r="X8" s="2"/>
      <c r="Y8" s="2"/>
      <c r="Z8" s="2"/>
    </row>
    <row r="9" spans="1:26" ht="12.75" customHeight="1" x14ac:dyDescent="0.15">
      <c r="A9" s="2"/>
      <c r="B9" s="2"/>
      <c r="C9" s="2"/>
      <c r="D9" s="2"/>
      <c r="E9" s="2"/>
      <c r="F9" s="2"/>
      <c r="G9" s="2"/>
      <c r="H9" s="2"/>
      <c r="I9" s="2"/>
      <c r="J9" s="2"/>
      <c r="K9" s="2"/>
      <c r="L9" s="2"/>
      <c r="M9" s="2"/>
      <c r="N9" s="2"/>
      <c r="O9" s="2"/>
      <c r="P9" s="2"/>
      <c r="Q9" s="2"/>
      <c r="R9" s="2"/>
      <c r="S9" s="2"/>
      <c r="T9" s="2"/>
      <c r="U9" s="2"/>
      <c r="V9" s="2"/>
      <c r="W9" s="2"/>
      <c r="X9" s="2"/>
      <c r="Y9" s="2"/>
      <c r="Z9" s="2"/>
    </row>
    <row r="10" spans="1:26" ht="12.75" customHeight="1" x14ac:dyDescent="0.1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x14ac:dyDescent="0.1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x14ac:dyDescent="0.1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5" r:id="rId1" xr:uid="{00000000-0004-0000-0000-000000000000}"/>
    <hyperlink ref="A8" r:id="rId2"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05EA-EDE5-8E4A-B5B6-335687B8CFD8}">
  <dimension ref="A1:H52"/>
  <sheetViews>
    <sheetView zoomScale="150" workbookViewId="0">
      <selection activeCell="B1" sqref="B1"/>
    </sheetView>
  </sheetViews>
  <sheetFormatPr baseColWidth="10" defaultRowHeight="13" x14ac:dyDescent="0.15"/>
  <cols>
    <col min="1" max="1" width="10.1640625" customWidth="1"/>
    <col min="2" max="2" width="12.6640625" bestFit="1" customWidth="1"/>
    <col min="4" max="8" width="12.1640625" bestFit="1" customWidth="1"/>
  </cols>
  <sheetData>
    <row r="1" spans="1:8" x14ac:dyDescent="0.15">
      <c r="A1" t="s">
        <v>27</v>
      </c>
      <c r="B1" t="s">
        <v>28</v>
      </c>
      <c r="C1" t="s">
        <v>29</v>
      </c>
      <c r="D1" s="10" t="s">
        <v>18</v>
      </c>
      <c r="E1" s="10" t="s">
        <v>19</v>
      </c>
      <c r="F1" s="10" t="s">
        <v>20</v>
      </c>
      <c r="G1" s="10" t="s">
        <v>21</v>
      </c>
      <c r="H1" s="10" t="s">
        <v>22</v>
      </c>
    </row>
    <row r="2" spans="1:8" x14ac:dyDescent="0.15">
      <c r="A2" s="10" t="s">
        <v>6</v>
      </c>
      <c r="B2" s="10" t="s">
        <v>12</v>
      </c>
      <c r="C2" s="10" t="s">
        <v>16</v>
      </c>
      <c r="D2">
        <v>344875</v>
      </c>
      <c r="E2">
        <v>321151</v>
      </c>
      <c r="F2">
        <v>200731</v>
      </c>
      <c r="G2">
        <v>344896</v>
      </c>
      <c r="H2">
        <v>451497</v>
      </c>
    </row>
    <row r="3" spans="1:8" x14ac:dyDescent="0.15">
      <c r="A3" s="10"/>
      <c r="B3" s="10"/>
      <c r="C3" s="10" t="s">
        <v>17</v>
      </c>
      <c r="D3">
        <v>24.326545295515945</v>
      </c>
      <c r="E3">
        <v>22.112796600774892</v>
      </c>
      <c r="F3">
        <v>13.51354444508774</v>
      </c>
      <c r="G3">
        <v>22.879538397140056</v>
      </c>
      <c r="H3">
        <v>29.422781790989337</v>
      </c>
    </row>
    <row r="4" spans="1:8" x14ac:dyDescent="0.15">
      <c r="A4" s="10"/>
      <c r="B4" s="10" t="s">
        <v>13</v>
      </c>
      <c r="C4" s="10" t="s">
        <v>16</v>
      </c>
      <c r="D4">
        <v>69118</v>
      </c>
      <c r="E4">
        <v>105004</v>
      </c>
      <c r="F4">
        <v>85614</v>
      </c>
      <c r="G4">
        <v>91738</v>
      </c>
      <c r="H4">
        <v>67407</v>
      </c>
    </row>
    <row r="5" spans="1:8" x14ac:dyDescent="0.15">
      <c r="A5" s="10"/>
      <c r="B5" s="10"/>
      <c r="C5" s="10" t="s">
        <v>17</v>
      </c>
      <c r="D5">
        <v>16.6954513723662</v>
      </c>
      <c r="E5">
        <v>24.639861083408615</v>
      </c>
      <c r="F5">
        <v>29.898898182262656</v>
      </c>
      <c r="G5">
        <v>21.010274051035879</v>
      </c>
      <c r="H5">
        <v>12.990264095092732</v>
      </c>
    </row>
    <row r="6" spans="1:8" x14ac:dyDescent="0.15">
      <c r="A6" s="10"/>
      <c r="B6" s="10" t="s">
        <v>14</v>
      </c>
      <c r="C6" s="10" t="s">
        <v>16</v>
      </c>
      <c r="D6">
        <v>413993</v>
      </c>
      <c r="E6">
        <v>426155</v>
      </c>
      <c r="F6">
        <v>286345</v>
      </c>
      <c r="G6">
        <v>436634</v>
      </c>
      <c r="H6">
        <v>518904</v>
      </c>
    </row>
    <row r="7" spans="1:8" x14ac:dyDescent="0.15">
      <c r="A7" s="10"/>
      <c r="B7" s="10"/>
      <c r="C7" s="10" t="s">
        <v>17</v>
      </c>
      <c r="D7">
        <v>29.201941186013869</v>
      </c>
      <c r="E7">
        <v>29.342828873032389</v>
      </c>
      <c r="F7">
        <v>19.277221177240431</v>
      </c>
      <c r="G7">
        <v>28.96520797137935</v>
      </c>
      <c r="H7">
        <v>33.815505224777858</v>
      </c>
    </row>
    <row r="8" spans="1:8" x14ac:dyDescent="0.15">
      <c r="A8" s="10"/>
      <c r="B8" s="10" t="s">
        <v>15</v>
      </c>
      <c r="C8" s="10" t="s">
        <v>16</v>
      </c>
      <c r="D8">
        <v>1003697</v>
      </c>
      <c r="E8">
        <v>1026176</v>
      </c>
      <c r="F8">
        <v>1199061</v>
      </c>
      <c r="G8">
        <v>1070809</v>
      </c>
      <c r="H8">
        <v>1015611</v>
      </c>
    </row>
    <row r="9" spans="1:8" x14ac:dyDescent="0.15">
      <c r="A9" s="10"/>
      <c r="B9" s="10"/>
      <c r="C9" s="10" t="s">
        <v>17</v>
      </c>
      <c r="D9">
        <v>70.798058813986131</v>
      </c>
      <c r="E9">
        <v>70.657171126967611</v>
      </c>
      <c r="F9">
        <v>80.722778822759565</v>
      </c>
      <c r="G9">
        <v>71.034792028620643</v>
      </c>
      <c r="H9">
        <v>66.184494775222134</v>
      </c>
    </row>
    <row r="10" spans="1:8" x14ac:dyDescent="0.15">
      <c r="A10" s="10" t="s">
        <v>7</v>
      </c>
      <c r="B10" s="10" t="s">
        <v>12</v>
      </c>
      <c r="C10" s="10" t="s">
        <v>16</v>
      </c>
      <c r="D10">
        <v>3430284</v>
      </c>
      <c r="E10">
        <v>3393608</v>
      </c>
      <c r="F10">
        <v>3242052</v>
      </c>
      <c r="G10">
        <v>3439732</v>
      </c>
      <c r="H10">
        <v>3427135</v>
      </c>
    </row>
    <row r="11" spans="1:8" x14ac:dyDescent="0.15">
      <c r="A11" s="10"/>
      <c r="B11" s="10"/>
      <c r="C11" s="10" t="s">
        <v>17</v>
      </c>
      <c r="D11">
        <v>61.325025761529403</v>
      </c>
      <c r="E11">
        <v>61.636998240218446</v>
      </c>
      <c r="F11">
        <v>59.257729335797677</v>
      </c>
      <c r="G11">
        <v>62.394091834933725</v>
      </c>
      <c r="H11">
        <v>61.109107109328569</v>
      </c>
    </row>
    <row r="12" spans="1:8" x14ac:dyDescent="0.15">
      <c r="A12" s="10"/>
      <c r="B12" s="10" t="s">
        <v>13</v>
      </c>
      <c r="C12" s="10" t="s">
        <v>16</v>
      </c>
      <c r="D12">
        <v>355408</v>
      </c>
      <c r="E12">
        <v>384335</v>
      </c>
      <c r="F12">
        <v>395925</v>
      </c>
      <c r="G12">
        <v>313230</v>
      </c>
      <c r="H12">
        <v>369744</v>
      </c>
    </row>
    <row r="13" spans="1:8" x14ac:dyDescent="0.15">
      <c r="A13" s="10"/>
      <c r="B13" s="10"/>
      <c r="C13" s="10" t="s">
        <v>17</v>
      </c>
      <c r="D13">
        <v>9.3881911153892084</v>
      </c>
      <c r="E13">
        <v>10.173128604640144</v>
      </c>
      <c r="F13">
        <v>10.883108936642536</v>
      </c>
      <c r="G13">
        <v>8.3462076088167159</v>
      </c>
      <c r="H13">
        <v>9.7381033211751014</v>
      </c>
    </row>
    <row r="14" spans="1:8" x14ac:dyDescent="0.15">
      <c r="A14" s="10"/>
      <c r="B14" s="10" t="s">
        <v>14</v>
      </c>
      <c r="C14" s="10" t="s">
        <v>16</v>
      </c>
      <c r="D14">
        <v>3785692</v>
      </c>
      <c r="E14">
        <v>3777943</v>
      </c>
      <c r="F14">
        <v>3637977</v>
      </c>
      <c r="G14">
        <v>3752962</v>
      </c>
      <c r="H14">
        <v>3796879</v>
      </c>
    </row>
    <row r="15" spans="1:8" x14ac:dyDescent="0.15">
      <c r="A15" s="10"/>
      <c r="B15" s="10"/>
      <c r="C15" s="10" t="s">
        <v>17</v>
      </c>
      <c r="D15">
        <v>67.678845082569183</v>
      </c>
      <c r="E15">
        <v>68.617549829752164</v>
      </c>
      <c r="F15">
        <v>66.494385776618387</v>
      </c>
      <c r="G15">
        <v>68.07584302527539</v>
      </c>
      <c r="H15">
        <v>67.701997584618155</v>
      </c>
    </row>
    <row r="16" spans="1:8" x14ac:dyDescent="0.15">
      <c r="A16" s="10"/>
      <c r="B16" s="10" t="s">
        <v>15</v>
      </c>
      <c r="C16" s="10" t="s">
        <v>16</v>
      </c>
      <c r="D16">
        <v>1807920</v>
      </c>
      <c r="E16">
        <v>1727854</v>
      </c>
      <c r="F16">
        <v>1833127</v>
      </c>
      <c r="G16">
        <v>1759951</v>
      </c>
      <c r="H16">
        <v>1811344</v>
      </c>
    </row>
    <row r="17" spans="1:8" x14ac:dyDescent="0.15">
      <c r="A17" s="10"/>
      <c r="B17" s="10"/>
      <c r="C17" s="10" t="s">
        <v>17</v>
      </c>
      <c r="D17">
        <v>32.321154917430817</v>
      </c>
      <c r="E17">
        <v>31.382450170247836</v>
      </c>
      <c r="F17">
        <v>33.505614223381613</v>
      </c>
      <c r="G17">
        <v>31.92415697472461</v>
      </c>
      <c r="H17">
        <v>32.298002415381845</v>
      </c>
    </row>
    <row r="18" spans="1:8" x14ac:dyDescent="0.15">
      <c r="A18" s="10" t="s">
        <v>8</v>
      </c>
      <c r="B18" s="10" t="s">
        <v>12</v>
      </c>
      <c r="C18" s="10" t="s">
        <v>16</v>
      </c>
      <c r="D18">
        <v>7514942</v>
      </c>
      <c r="E18">
        <v>7515616</v>
      </c>
      <c r="F18">
        <v>7494905</v>
      </c>
      <c r="G18">
        <v>7487048</v>
      </c>
      <c r="H18">
        <v>7638966</v>
      </c>
    </row>
    <row r="19" spans="1:8" x14ac:dyDescent="0.15">
      <c r="A19" s="10"/>
      <c r="B19" s="10"/>
      <c r="C19" s="10" t="s">
        <v>17</v>
      </c>
      <c r="D19">
        <v>84.408254258718515</v>
      </c>
      <c r="E19">
        <v>84.483796290571661</v>
      </c>
      <c r="F19">
        <v>84.420117676039581</v>
      </c>
      <c r="G19">
        <v>83.859835014364833</v>
      </c>
      <c r="H19">
        <v>84.74323263091577</v>
      </c>
    </row>
    <row r="20" spans="1:8" x14ac:dyDescent="0.15">
      <c r="A20" s="10"/>
      <c r="B20" s="10" t="s">
        <v>13</v>
      </c>
      <c r="C20" s="10" t="s">
        <v>16</v>
      </c>
      <c r="D20">
        <v>247633</v>
      </c>
      <c r="E20">
        <v>260267</v>
      </c>
      <c r="F20">
        <v>311719</v>
      </c>
      <c r="G20">
        <v>261978</v>
      </c>
      <c r="H20">
        <v>283660</v>
      </c>
    </row>
    <row r="21" spans="1:8" x14ac:dyDescent="0.15">
      <c r="A21" s="10"/>
      <c r="B21" s="10"/>
      <c r="C21" s="10" t="s">
        <v>17</v>
      </c>
      <c r="D21">
        <v>3.1900883405313314</v>
      </c>
      <c r="E21">
        <v>3.3471054026918874</v>
      </c>
      <c r="F21">
        <v>3.9930064519566977</v>
      </c>
      <c r="G21">
        <v>3.3807861788049234</v>
      </c>
      <c r="H21">
        <v>3.5803785260089267</v>
      </c>
    </row>
    <row r="22" spans="1:8" x14ac:dyDescent="0.15">
      <c r="A22" s="10"/>
      <c r="B22" s="10" t="s">
        <v>14</v>
      </c>
      <c r="C22" s="10" t="s">
        <v>16</v>
      </c>
      <c r="D22">
        <v>7762575</v>
      </c>
      <c r="E22">
        <v>7775883</v>
      </c>
      <c r="F22">
        <v>7806624</v>
      </c>
      <c r="G22">
        <v>7749026</v>
      </c>
      <c r="H22">
        <v>7922626</v>
      </c>
    </row>
    <row r="23" spans="1:8" x14ac:dyDescent="0.15">
      <c r="A23" s="10"/>
      <c r="B23" s="10"/>
      <c r="C23" s="10" t="s">
        <v>17</v>
      </c>
      <c r="D23">
        <v>87.189682142905681</v>
      </c>
      <c r="E23">
        <v>87.409483846875531</v>
      </c>
      <c r="F23">
        <v>87.931216837651021</v>
      </c>
      <c r="G23">
        <v>86.794159978942773</v>
      </c>
      <c r="H23">
        <v>87.890028331811109</v>
      </c>
    </row>
    <row r="24" spans="1:8" x14ac:dyDescent="0.15">
      <c r="A24" s="10"/>
      <c r="B24" s="10" t="s">
        <v>15</v>
      </c>
      <c r="C24" s="10" t="s">
        <v>16</v>
      </c>
      <c r="D24">
        <v>1140514</v>
      </c>
      <c r="E24">
        <v>1120043</v>
      </c>
      <c r="F24">
        <v>1071479</v>
      </c>
      <c r="G24">
        <v>1179024</v>
      </c>
      <c r="H24">
        <v>1091623</v>
      </c>
    </row>
    <row r="25" spans="1:8" x14ac:dyDescent="0.15">
      <c r="A25" s="10"/>
      <c r="B25" s="10"/>
      <c r="C25" s="10" t="s">
        <v>17</v>
      </c>
      <c r="D25">
        <v>12.81031785709432</v>
      </c>
      <c r="E25">
        <v>12.590516153124469</v>
      </c>
      <c r="F25">
        <v>12.06878316234898</v>
      </c>
      <c r="G25">
        <v>13.205840021057227</v>
      </c>
      <c r="H25">
        <v>12.109971668188892</v>
      </c>
    </row>
    <row r="26" spans="1:8" x14ac:dyDescent="0.15">
      <c r="A26" s="10" t="s">
        <v>9</v>
      </c>
      <c r="B26" s="10" t="s">
        <v>12</v>
      </c>
      <c r="C26" s="10" t="s">
        <v>16</v>
      </c>
      <c r="D26">
        <v>10999137</v>
      </c>
      <c r="E26">
        <v>10916453</v>
      </c>
      <c r="F26">
        <v>10858987</v>
      </c>
      <c r="G26">
        <v>10944865</v>
      </c>
      <c r="H26">
        <v>11095712</v>
      </c>
    </row>
    <row r="27" spans="1:8" x14ac:dyDescent="0.15">
      <c r="A27" s="10"/>
      <c r="B27" s="10"/>
      <c r="C27" s="10" t="s">
        <v>17</v>
      </c>
      <c r="D27">
        <v>85.316598281340674</v>
      </c>
      <c r="E27">
        <v>84.899550718338148</v>
      </c>
      <c r="F27">
        <v>84.693814996477798</v>
      </c>
      <c r="G27">
        <v>85.130593652625095</v>
      </c>
      <c r="H27">
        <v>85.356476390736645</v>
      </c>
    </row>
    <row r="28" spans="1:8" x14ac:dyDescent="0.15">
      <c r="A28" s="10"/>
      <c r="B28" s="10" t="s">
        <v>13</v>
      </c>
      <c r="C28" s="10" t="s">
        <v>16</v>
      </c>
      <c r="D28">
        <v>304832</v>
      </c>
      <c r="E28">
        <v>305769</v>
      </c>
      <c r="F28">
        <v>388675</v>
      </c>
      <c r="G28">
        <v>286653</v>
      </c>
      <c r="H28">
        <v>277244</v>
      </c>
    </row>
    <row r="29" spans="1:8" x14ac:dyDescent="0.15">
      <c r="A29" s="10"/>
      <c r="B29" s="10"/>
      <c r="C29" s="10" t="s">
        <v>17</v>
      </c>
      <c r="D29">
        <v>2.6966811391644829</v>
      </c>
      <c r="E29">
        <v>2.7246743113796894</v>
      </c>
      <c r="F29">
        <v>3.4556070408232396</v>
      </c>
      <c r="G29">
        <v>2.5522195664023331</v>
      </c>
      <c r="H29">
        <v>2.4377479346618416</v>
      </c>
    </row>
    <row r="30" spans="1:8" x14ac:dyDescent="0.15">
      <c r="A30" s="10"/>
      <c r="B30" s="10" t="s">
        <v>14</v>
      </c>
      <c r="C30" s="10" t="s">
        <v>16</v>
      </c>
      <c r="D30">
        <v>11303969</v>
      </c>
      <c r="E30">
        <v>11222222</v>
      </c>
      <c r="F30">
        <v>11247662</v>
      </c>
      <c r="G30">
        <v>11231518</v>
      </c>
      <c r="H30">
        <v>11372956</v>
      </c>
    </row>
    <row r="31" spans="1:8" x14ac:dyDescent="0.15">
      <c r="A31" s="10"/>
      <c r="B31" s="10"/>
      <c r="C31" s="10" t="s">
        <v>17</v>
      </c>
      <c r="D31">
        <v>87.681077357044316</v>
      </c>
      <c r="E31">
        <v>87.277580534762535</v>
      </c>
      <c r="F31">
        <v>87.725255087874515</v>
      </c>
      <c r="G31">
        <v>87.360218235688109</v>
      </c>
      <c r="H31">
        <v>87.489243620137813</v>
      </c>
    </row>
    <row r="32" spans="1:8" x14ac:dyDescent="0.15">
      <c r="A32" s="10"/>
      <c r="B32" s="10" t="s">
        <v>15</v>
      </c>
      <c r="C32" s="10" t="s">
        <v>16</v>
      </c>
      <c r="D32">
        <v>1588173</v>
      </c>
      <c r="E32">
        <v>1635859</v>
      </c>
      <c r="F32">
        <v>1573802</v>
      </c>
      <c r="G32">
        <v>1625041</v>
      </c>
      <c r="H32">
        <v>1626306</v>
      </c>
    </row>
    <row r="33" spans="1:8" x14ac:dyDescent="0.15">
      <c r="A33" s="10"/>
      <c r="B33" s="10"/>
      <c r="C33" s="10" t="s">
        <v>17</v>
      </c>
      <c r="D33">
        <v>12.318922642955684</v>
      </c>
      <c r="E33">
        <v>12.722419465237463</v>
      </c>
      <c r="F33">
        <v>12.274744912125485</v>
      </c>
      <c r="G33">
        <v>12.639781764311891</v>
      </c>
      <c r="H33">
        <v>12.510756379862189</v>
      </c>
    </row>
    <row r="34" spans="1:8" x14ac:dyDescent="0.15">
      <c r="A34" s="10" t="s">
        <v>10</v>
      </c>
      <c r="B34" s="10" t="s">
        <v>12</v>
      </c>
      <c r="C34" s="10" t="s">
        <v>16</v>
      </c>
      <c r="D34">
        <v>9241618</v>
      </c>
      <c r="E34">
        <v>9298660</v>
      </c>
      <c r="F34">
        <v>9225864</v>
      </c>
      <c r="G34">
        <v>9315845</v>
      </c>
      <c r="H34">
        <v>9375543</v>
      </c>
    </row>
    <row r="35" spans="1:8" x14ac:dyDescent="0.15">
      <c r="A35" s="10"/>
      <c r="B35" s="10"/>
      <c r="C35" s="10" t="s">
        <v>17</v>
      </c>
      <c r="D35">
        <v>72.624614475213605</v>
      </c>
      <c r="E35">
        <v>72.152175814100517</v>
      </c>
      <c r="F35">
        <v>70.653190950683097</v>
      </c>
      <c r="G35">
        <v>70.692092871347199</v>
      </c>
      <c r="H35">
        <v>70.773979420949132</v>
      </c>
    </row>
    <row r="36" spans="1:8" x14ac:dyDescent="0.15">
      <c r="A36" s="10"/>
      <c r="B36" s="10" t="s">
        <v>13</v>
      </c>
      <c r="C36" s="10" t="s">
        <v>16</v>
      </c>
      <c r="D36">
        <v>269666</v>
      </c>
      <c r="E36">
        <v>273827</v>
      </c>
      <c r="F36">
        <v>372936</v>
      </c>
      <c r="G36">
        <v>280858</v>
      </c>
      <c r="H36">
        <v>279580</v>
      </c>
    </row>
    <row r="37" spans="1:8" x14ac:dyDescent="0.15">
      <c r="A37" s="10"/>
      <c r="B37" s="10"/>
      <c r="C37" s="10" t="s">
        <v>17</v>
      </c>
      <c r="D37">
        <v>2.8352218270424898</v>
      </c>
      <c r="E37">
        <v>2.8605627774683842</v>
      </c>
      <c r="F37">
        <v>3.8852356544568072</v>
      </c>
      <c r="G37">
        <v>2.9266092740392193</v>
      </c>
      <c r="H37">
        <v>2.8956648195988803</v>
      </c>
    </row>
    <row r="38" spans="1:8" x14ac:dyDescent="0.15">
      <c r="A38" s="10"/>
      <c r="B38" s="10" t="s">
        <v>14</v>
      </c>
      <c r="C38" s="10" t="s">
        <v>16</v>
      </c>
      <c r="D38">
        <v>9511284</v>
      </c>
      <c r="E38">
        <v>9572487</v>
      </c>
      <c r="F38">
        <v>9598800</v>
      </c>
      <c r="G38">
        <v>9596703</v>
      </c>
      <c r="H38">
        <v>9655123</v>
      </c>
    </row>
    <row r="39" spans="1:8" x14ac:dyDescent="0.15">
      <c r="A39" s="10"/>
      <c r="B39" s="10"/>
      <c r="C39" s="10" t="s">
        <v>17</v>
      </c>
      <c r="D39">
        <v>74.743766044459719</v>
      </c>
      <c r="E39">
        <v>74.276913555522157</v>
      </c>
      <c r="F39">
        <v>73.509196460886145</v>
      </c>
      <c r="G39">
        <v>72.823347719368059</v>
      </c>
      <c r="H39">
        <v>72.884469359132879</v>
      </c>
    </row>
    <row r="40" spans="1:8" x14ac:dyDescent="0.15">
      <c r="A40" s="10"/>
      <c r="B40" s="10" t="s">
        <v>15</v>
      </c>
      <c r="C40" s="10" t="s">
        <v>16</v>
      </c>
      <c r="D40">
        <v>3213903</v>
      </c>
      <c r="E40">
        <v>3315080</v>
      </c>
      <c r="F40">
        <v>3459158</v>
      </c>
      <c r="G40">
        <v>3581355</v>
      </c>
      <c r="H40">
        <v>3592038</v>
      </c>
    </row>
    <row r="41" spans="1:8" x14ac:dyDescent="0.15">
      <c r="A41" s="10"/>
      <c r="B41" s="10"/>
      <c r="C41" s="10" t="s">
        <v>17</v>
      </c>
      <c r="D41">
        <v>25.256233955540296</v>
      </c>
      <c r="E41">
        <v>25.723086444477843</v>
      </c>
      <c r="F41">
        <v>26.490803539113855</v>
      </c>
      <c r="G41">
        <v>27.176652280631941</v>
      </c>
      <c r="H41">
        <v>27.115530640867121</v>
      </c>
    </row>
    <row r="42" spans="1:8" x14ac:dyDescent="0.15">
      <c r="A42" s="10" t="s">
        <v>11</v>
      </c>
      <c r="B42" s="10" t="s">
        <v>12</v>
      </c>
      <c r="C42" s="10" t="s">
        <v>16</v>
      </c>
      <c r="D42">
        <v>1291260</v>
      </c>
      <c r="E42">
        <v>1362233</v>
      </c>
      <c r="F42">
        <v>1285502</v>
      </c>
      <c r="G42">
        <v>1345345</v>
      </c>
      <c r="H42">
        <v>1496305</v>
      </c>
    </row>
    <row r="43" spans="1:8" x14ac:dyDescent="0.15">
      <c r="A43" s="10"/>
      <c r="B43" s="10"/>
      <c r="C43" s="10" t="s">
        <v>17</v>
      </c>
      <c r="D43">
        <v>10.946439876556481</v>
      </c>
      <c r="E43">
        <v>11.420295944660776</v>
      </c>
      <c r="F43">
        <v>10.643616986043677</v>
      </c>
      <c r="G43">
        <v>10.976814916024017</v>
      </c>
      <c r="H43">
        <v>12.018055536033764</v>
      </c>
    </row>
    <row r="44" spans="1:8" x14ac:dyDescent="0.15">
      <c r="A44" s="10"/>
      <c r="B44" s="10" t="s">
        <v>13</v>
      </c>
      <c r="C44" s="10" t="s">
        <v>16</v>
      </c>
      <c r="D44">
        <v>17198</v>
      </c>
      <c r="E44">
        <v>21497</v>
      </c>
      <c r="F44">
        <v>35663</v>
      </c>
      <c r="G44">
        <v>24879</v>
      </c>
      <c r="H44">
        <v>28139</v>
      </c>
    </row>
    <row r="45" spans="1:8" x14ac:dyDescent="0.15">
      <c r="A45" s="10"/>
      <c r="B45" s="10"/>
      <c r="C45" s="10" t="s">
        <v>17</v>
      </c>
      <c r="D45">
        <v>1.3143715732564591</v>
      </c>
      <c r="E45">
        <v>1.5535545229199339</v>
      </c>
      <c r="F45">
        <v>2.6993600345149926</v>
      </c>
      <c r="G45">
        <v>1.815688529758638</v>
      </c>
      <c r="H45">
        <v>1.8458533078289527</v>
      </c>
    </row>
    <row r="46" spans="1:8" x14ac:dyDescent="0.15">
      <c r="A46" s="10"/>
      <c r="B46" s="10" t="s">
        <v>14</v>
      </c>
      <c r="C46" s="10" t="s">
        <v>16</v>
      </c>
      <c r="D46">
        <v>1308458</v>
      </c>
      <c r="E46">
        <v>1383730</v>
      </c>
      <c r="F46">
        <v>1321165</v>
      </c>
      <c r="G46">
        <v>1370224</v>
      </c>
      <c r="H46">
        <v>1524444</v>
      </c>
    </row>
    <row r="47" spans="1:8" x14ac:dyDescent="0.15">
      <c r="A47" s="10"/>
      <c r="B47" s="10"/>
      <c r="C47" s="10" t="s">
        <v>17</v>
      </c>
      <c r="D47">
        <v>11.092233034399996</v>
      </c>
      <c r="E47">
        <v>11.600516290168756</v>
      </c>
      <c r="F47">
        <v>10.938897205423558</v>
      </c>
      <c r="G47">
        <v>11.179805359587384</v>
      </c>
      <c r="H47">
        <v>12.244062977516922</v>
      </c>
    </row>
    <row r="48" spans="1:8" x14ac:dyDescent="0.15">
      <c r="A48" s="10"/>
      <c r="B48" s="10" t="s">
        <v>15</v>
      </c>
      <c r="C48" s="10" t="s">
        <v>16</v>
      </c>
      <c r="D48">
        <v>10487706</v>
      </c>
      <c r="E48">
        <v>10544446</v>
      </c>
      <c r="F48">
        <v>10756515</v>
      </c>
      <c r="G48">
        <v>10886018</v>
      </c>
      <c r="H48">
        <v>10926031</v>
      </c>
    </row>
    <row r="49" spans="1:8" x14ac:dyDescent="0.15">
      <c r="A49" s="10"/>
      <c r="B49" s="10"/>
      <c r="C49" s="10" t="s">
        <v>17</v>
      </c>
      <c r="D49">
        <v>88.907766965600004</v>
      </c>
      <c r="E49">
        <v>88.399483709831244</v>
      </c>
      <c r="F49">
        <v>89.061102794576442</v>
      </c>
      <c r="G49">
        <v>88.820194640412609</v>
      </c>
      <c r="H49">
        <v>87.755937022483081</v>
      </c>
    </row>
    <row r="52" spans="1:8" x14ac:dyDescent="0.15">
      <c r="A52" s="16" t="s">
        <v>25</v>
      </c>
      <c r="B52" s="16"/>
    </row>
  </sheetData>
  <mergeCells count="1">
    <mergeCell ref="A52:B52"/>
  </mergeCells>
  <phoneticPr fontId="8" type="noConversion"/>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9EA4-95DF-0E49-A0D3-A42FFCB9C134}">
  <dimension ref="A1:G8"/>
  <sheetViews>
    <sheetView zoomScale="238" workbookViewId="0">
      <selection activeCell="B1" sqref="B1"/>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s="11" t="s">
        <v>6</v>
      </c>
      <c r="B2" s="11" t="s">
        <v>12</v>
      </c>
      <c r="C2" s="14">
        <v>344875</v>
      </c>
      <c r="D2" s="14">
        <v>321151</v>
      </c>
      <c r="E2" s="14">
        <v>200731</v>
      </c>
      <c r="F2" s="14">
        <v>344896</v>
      </c>
      <c r="G2" s="14">
        <v>451497</v>
      </c>
    </row>
    <row r="3" spans="1:7" x14ac:dyDescent="0.15">
      <c r="A3" s="11" t="s">
        <v>7</v>
      </c>
      <c r="B3" s="11" t="s">
        <v>12</v>
      </c>
      <c r="C3" s="14">
        <v>3430284</v>
      </c>
      <c r="D3" s="14">
        <v>3393608</v>
      </c>
      <c r="E3" s="14">
        <v>3242052</v>
      </c>
      <c r="F3" s="14">
        <v>3439732</v>
      </c>
      <c r="G3" s="14">
        <v>3427135</v>
      </c>
    </row>
    <row r="4" spans="1:7" x14ac:dyDescent="0.15">
      <c r="A4" s="11" t="s">
        <v>8</v>
      </c>
      <c r="B4" s="11" t="s">
        <v>12</v>
      </c>
      <c r="C4" s="14">
        <v>7514942</v>
      </c>
      <c r="D4" s="14">
        <v>7515616</v>
      </c>
      <c r="E4" s="14">
        <v>7494905</v>
      </c>
      <c r="F4" s="14">
        <v>7487048</v>
      </c>
      <c r="G4" s="14">
        <v>7638966</v>
      </c>
    </row>
    <row r="5" spans="1:7" x14ac:dyDescent="0.15">
      <c r="A5" s="11" t="s">
        <v>9</v>
      </c>
      <c r="B5" s="11" t="s">
        <v>12</v>
      </c>
      <c r="C5" s="14">
        <v>10999137</v>
      </c>
      <c r="D5" s="14">
        <v>10916453</v>
      </c>
      <c r="E5" s="14">
        <v>10858987</v>
      </c>
      <c r="F5" s="14">
        <v>10944865</v>
      </c>
      <c r="G5" s="14">
        <v>11095712</v>
      </c>
    </row>
    <row r="6" spans="1:7" x14ac:dyDescent="0.15">
      <c r="A6" s="11" t="s">
        <v>10</v>
      </c>
      <c r="B6" s="11" t="s">
        <v>12</v>
      </c>
      <c r="C6" s="14">
        <v>9241618</v>
      </c>
      <c r="D6" s="14">
        <v>9298660</v>
      </c>
      <c r="E6" s="14">
        <v>9225864</v>
      </c>
      <c r="F6" s="14">
        <v>9315845</v>
      </c>
      <c r="G6" s="14">
        <v>9375543</v>
      </c>
    </row>
    <row r="7" spans="1:7" x14ac:dyDescent="0.15">
      <c r="A7" s="11" t="s">
        <v>11</v>
      </c>
      <c r="B7" s="11" t="s">
        <v>12</v>
      </c>
      <c r="C7" s="14">
        <v>1291260</v>
      </c>
      <c r="D7" s="14">
        <v>1362233</v>
      </c>
      <c r="E7" s="14">
        <v>1285502</v>
      </c>
      <c r="F7" s="14">
        <v>1345345</v>
      </c>
      <c r="G7" s="14">
        <v>1496305</v>
      </c>
    </row>
    <row r="8" spans="1:7" x14ac:dyDescent="0.15">
      <c r="A8" s="11"/>
      <c r="B8" s="10" t="s">
        <v>23</v>
      </c>
      <c r="C8" s="13">
        <f>SUM(C2:C7)</f>
        <v>32822116</v>
      </c>
      <c r="D8" s="13">
        <f t="shared" ref="D8:G8" si="0">SUM(D2:D7)</f>
        <v>32807721</v>
      </c>
      <c r="E8" s="13">
        <f t="shared" si="0"/>
        <v>32308041</v>
      </c>
      <c r="F8" s="13">
        <f t="shared" si="0"/>
        <v>32877731</v>
      </c>
      <c r="G8" s="13">
        <f t="shared" si="0"/>
        <v>33485158</v>
      </c>
    </row>
  </sheetData>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DA968-1813-E64F-AE46-2F88B304BC72}">
  <dimension ref="A1:G8"/>
  <sheetViews>
    <sheetView zoomScale="250" workbookViewId="0">
      <selection activeCell="B1" sqref="B1"/>
    </sheetView>
  </sheetViews>
  <sheetFormatPr baseColWidth="10" defaultRowHeight="13" x14ac:dyDescent="0.15"/>
  <cols>
    <col min="2" max="2" width="12.6640625" bestFit="1" customWidth="1"/>
  </cols>
  <sheetData>
    <row r="1" spans="1:7" x14ac:dyDescent="0.15">
      <c r="A1" s="15" t="s">
        <v>26</v>
      </c>
      <c r="B1" t="s">
        <v>28</v>
      </c>
      <c r="C1" s="10" t="s">
        <v>18</v>
      </c>
      <c r="D1" s="10" t="s">
        <v>19</v>
      </c>
      <c r="E1" s="10" t="s">
        <v>20</v>
      </c>
      <c r="F1" s="10" t="s">
        <v>21</v>
      </c>
      <c r="G1" s="10" t="s">
        <v>22</v>
      </c>
    </row>
    <row r="2" spans="1:7" x14ac:dyDescent="0.15">
      <c r="A2" t="s">
        <v>6</v>
      </c>
      <c r="B2" t="s">
        <v>13</v>
      </c>
      <c r="C2" s="12">
        <v>69118</v>
      </c>
      <c r="D2" s="12">
        <v>105004</v>
      </c>
      <c r="E2" s="12">
        <v>85614</v>
      </c>
      <c r="F2" s="12">
        <v>91738</v>
      </c>
      <c r="G2" s="12">
        <v>67407</v>
      </c>
    </row>
    <row r="3" spans="1:7" x14ac:dyDescent="0.15">
      <c r="A3" t="s">
        <v>7</v>
      </c>
      <c r="B3" t="s">
        <v>13</v>
      </c>
      <c r="C3" s="12">
        <v>355408</v>
      </c>
      <c r="D3" s="12">
        <v>384335</v>
      </c>
      <c r="E3" s="12">
        <v>395925</v>
      </c>
      <c r="F3" s="12">
        <v>313230</v>
      </c>
      <c r="G3" s="12">
        <v>369744</v>
      </c>
    </row>
    <row r="4" spans="1:7" x14ac:dyDescent="0.15">
      <c r="A4" t="s">
        <v>8</v>
      </c>
      <c r="B4" t="s">
        <v>13</v>
      </c>
      <c r="C4" s="12">
        <v>247633</v>
      </c>
      <c r="D4" s="12">
        <v>260267</v>
      </c>
      <c r="E4" s="12">
        <v>311719</v>
      </c>
      <c r="F4" s="12">
        <v>261978</v>
      </c>
      <c r="G4" s="12">
        <v>283660</v>
      </c>
    </row>
    <row r="5" spans="1:7" x14ac:dyDescent="0.15">
      <c r="A5" t="s">
        <v>9</v>
      </c>
      <c r="B5" t="s">
        <v>13</v>
      </c>
      <c r="C5" s="12">
        <v>304832</v>
      </c>
      <c r="D5" s="12">
        <v>305769</v>
      </c>
      <c r="E5" s="12">
        <v>388675</v>
      </c>
      <c r="F5" s="12">
        <v>286653</v>
      </c>
      <c r="G5" s="12">
        <v>277244</v>
      </c>
    </row>
    <row r="6" spans="1:7" x14ac:dyDescent="0.15">
      <c r="A6" t="s">
        <v>10</v>
      </c>
      <c r="B6" t="s">
        <v>13</v>
      </c>
      <c r="C6" s="12">
        <v>269666</v>
      </c>
      <c r="D6" s="12">
        <v>273827</v>
      </c>
      <c r="E6" s="12">
        <v>372936</v>
      </c>
      <c r="F6" s="12">
        <v>280858</v>
      </c>
      <c r="G6" s="12">
        <v>279580</v>
      </c>
    </row>
    <row r="7" spans="1:7" x14ac:dyDescent="0.15">
      <c r="A7" t="s">
        <v>11</v>
      </c>
      <c r="B7" t="s">
        <v>13</v>
      </c>
      <c r="C7" s="12">
        <v>17198</v>
      </c>
      <c r="D7" s="12">
        <v>21497</v>
      </c>
      <c r="E7" s="12">
        <v>35663</v>
      </c>
      <c r="F7" s="12">
        <v>24879</v>
      </c>
      <c r="G7" s="12">
        <v>28139</v>
      </c>
    </row>
    <row r="8" spans="1:7" x14ac:dyDescent="0.15">
      <c r="B8" s="10" t="s">
        <v>23</v>
      </c>
      <c r="C8" s="13">
        <f>SUM(C2:C7)</f>
        <v>1263855</v>
      </c>
      <c r="D8" s="13">
        <f t="shared" ref="D8:G8" si="0">SUM(D2:D7)</f>
        <v>1350699</v>
      </c>
      <c r="E8" s="13">
        <f t="shared" si="0"/>
        <v>1590532</v>
      </c>
      <c r="F8" s="13">
        <f t="shared" si="0"/>
        <v>1259336</v>
      </c>
      <c r="G8" s="13">
        <f t="shared" si="0"/>
        <v>1305774</v>
      </c>
    </row>
  </sheetData>
  <pageMargins left="0.7" right="0.7" top="0.75" bottom="0.75" header="0.3" footer="0.3"/>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4EA5-943A-E040-B78B-F2081E3E6F77}">
  <dimension ref="A1:G8"/>
  <sheetViews>
    <sheetView zoomScale="246" workbookViewId="0">
      <selection activeCell="B1" sqref="B1"/>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t="s">
        <v>6</v>
      </c>
      <c r="B2" t="s">
        <v>14</v>
      </c>
      <c r="C2" s="12">
        <v>413993</v>
      </c>
      <c r="D2" s="12">
        <v>426155</v>
      </c>
      <c r="E2" s="12">
        <v>286345</v>
      </c>
      <c r="F2" s="12">
        <v>436634</v>
      </c>
      <c r="G2" s="12">
        <v>518904</v>
      </c>
    </row>
    <row r="3" spans="1:7" x14ac:dyDescent="0.15">
      <c r="A3" t="s">
        <v>7</v>
      </c>
      <c r="B3" t="s">
        <v>14</v>
      </c>
      <c r="C3" s="12">
        <v>3785692</v>
      </c>
      <c r="D3" s="12">
        <v>3777943</v>
      </c>
      <c r="E3" s="12">
        <v>3637977</v>
      </c>
      <c r="F3" s="12">
        <v>3752962</v>
      </c>
      <c r="G3" s="12">
        <v>3796879</v>
      </c>
    </row>
    <row r="4" spans="1:7" x14ac:dyDescent="0.15">
      <c r="A4" t="s">
        <v>8</v>
      </c>
      <c r="B4" t="s">
        <v>14</v>
      </c>
      <c r="C4" s="12">
        <v>7762575</v>
      </c>
      <c r="D4" s="12">
        <v>7775883</v>
      </c>
      <c r="E4" s="12">
        <v>7806624</v>
      </c>
      <c r="F4" s="12">
        <v>7749026</v>
      </c>
      <c r="G4" s="12">
        <v>7922626</v>
      </c>
    </row>
    <row r="5" spans="1:7" x14ac:dyDescent="0.15">
      <c r="A5" t="s">
        <v>9</v>
      </c>
      <c r="B5" t="s">
        <v>14</v>
      </c>
      <c r="C5" s="12">
        <v>11303969</v>
      </c>
      <c r="D5" s="12">
        <v>11222222</v>
      </c>
      <c r="E5" s="12">
        <v>11247662</v>
      </c>
      <c r="F5" s="12">
        <v>11231518</v>
      </c>
      <c r="G5" s="12">
        <v>11372956</v>
      </c>
    </row>
    <row r="6" spans="1:7" x14ac:dyDescent="0.15">
      <c r="A6" t="s">
        <v>10</v>
      </c>
      <c r="B6" t="s">
        <v>14</v>
      </c>
      <c r="C6" s="12">
        <v>9511284</v>
      </c>
      <c r="D6" s="12">
        <v>9572487</v>
      </c>
      <c r="E6" s="12">
        <v>9598800</v>
      </c>
      <c r="F6" s="12">
        <v>9596703</v>
      </c>
      <c r="G6" s="12">
        <v>9655123</v>
      </c>
    </row>
    <row r="7" spans="1:7" x14ac:dyDescent="0.15">
      <c r="A7" t="s">
        <v>11</v>
      </c>
      <c r="B7" t="s">
        <v>14</v>
      </c>
      <c r="C7" s="12">
        <v>1308458</v>
      </c>
      <c r="D7" s="12">
        <v>1383730</v>
      </c>
      <c r="E7" s="12">
        <v>1321165</v>
      </c>
      <c r="F7" s="12">
        <v>1370224</v>
      </c>
      <c r="G7" s="12">
        <v>1524444</v>
      </c>
    </row>
    <row r="8" spans="1:7" x14ac:dyDescent="0.15">
      <c r="B8" s="10" t="s">
        <v>23</v>
      </c>
      <c r="C8" s="13">
        <f>SUM(C2:C7)</f>
        <v>34085971</v>
      </c>
      <c r="D8" s="13">
        <f t="shared" ref="D8:G8" si="0">SUM(D2:D7)</f>
        <v>34158420</v>
      </c>
      <c r="E8" s="13">
        <f t="shared" si="0"/>
        <v>33898573</v>
      </c>
      <c r="F8" s="13">
        <f t="shared" si="0"/>
        <v>34137067</v>
      </c>
      <c r="G8" s="13">
        <f t="shared" si="0"/>
        <v>34790932</v>
      </c>
    </row>
  </sheetData>
  <pageMargins left="0.7" right="0.7" top="0.75" bottom="0.75" header="0.3" footer="0.3"/>
  <pageSetup paperSize="9"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913F-B2EC-374D-A012-7549776D0E3F}">
  <dimension ref="A1:G8"/>
  <sheetViews>
    <sheetView zoomScale="234" workbookViewId="0">
      <selection activeCell="D8" sqref="D8"/>
    </sheetView>
  </sheetViews>
  <sheetFormatPr baseColWidth="10" defaultRowHeight="13" x14ac:dyDescent="0.15"/>
  <cols>
    <col min="3" max="7" width="11.1640625" bestFit="1" customWidth="1"/>
  </cols>
  <sheetData>
    <row r="1" spans="1:7" x14ac:dyDescent="0.15">
      <c r="A1" s="15" t="s">
        <v>26</v>
      </c>
      <c r="B1" t="s">
        <v>28</v>
      </c>
      <c r="C1" s="10" t="s">
        <v>18</v>
      </c>
      <c r="D1" s="10" t="s">
        <v>19</v>
      </c>
      <c r="E1" s="10" t="s">
        <v>20</v>
      </c>
      <c r="F1" s="10" t="s">
        <v>21</v>
      </c>
      <c r="G1" s="10" t="s">
        <v>22</v>
      </c>
    </row>
    <row r="2" spans="1:7" x14ac:dyDescent="0.15">
      <c r="A2" t="s">
        <v>6</v>
      </c>
      <c r="B2" t="s">
        <v>15</v>
      </c>
      <c r="C2" s="12">
        <v>1003697</v>
      </c>
      <c r="D2" s="12">
        <v>1026176</v>
      </c>
      <c r="E2" s="12">
        <v>1199061</v>
      </c>
      <c r="F2" s="12">
        <v>1070809</v>
      </c>
      <c r="G2" s="12">
        <v>1015611</v>
      </c>
    </row>
    <row r="3" spans="1:7" x14ac:dyDescent="0.15">
      <c r="A3" t="s">
        <v>7</v>
      </c>
      <c r="B3" t="s">
        <v>15</v>
      </c>
      <c r="C3" s="12">
        <v>1807920</v>
      </c>
      <c r="D3" s="12">
        <v>1727854</v>
      </c>
      <c r="E3" s="12">
        <v>1833127</v>
      </c>
      <c r="F3" s="12">
        <v>1759951</v>
      </c>
      <c r="G3" s="12">
        <v>1811344</v>
      </c>
    </row>
    <row r="4" spans="1:7" x14ac:dyDescent="0.15">
      <c r="A4" t="s">
        <v>8</v>
      </c>
      <c r="B4" t="s">
        <v>15</v>
      </c>
      <c r="C4" s="12">
        <v>1140514</v>
      </c>
      <c r="D4" s="12">
        <v>1120043</v>
      </c>
      <c r="E4" s="12">
        <v>1071479</v>
      </c>
      <c r="F4" s="12">
        <v>1179024</v>
      </c>
      <c r="G4" s="12">
        <v>1091623</v>
      </c>
    </row>
    <row r="5" spans="1:7" x14ac:dyDescent="0.15">
      <c r="A5" t="s">
        <v>9</v>
      </c>
      <c r="B5" t="s">
        <v>15</v>
      </c>
      <c r="C5" s="12">
        <v>1588173</v>
      </c>
      <c r="D5" s="12">
        <v>1635859</v>
      </c>
      <c r="E5" s="12">
        <v>1573802</v>
      </c>
      <c r="F5" s="12">
        <v>1625041</v>
      </c>
      <c r="G5" s="12">
        <v>1626306</v>
      </c>
    </row>
    <row r="6" spans="1:7" x14ac:dyDescent="0.15">
      <c r="A6" t="s">
        <v>10</v>
      </c>
      <c r="B6" t="s">
        <v>15</v>
      </c>
      <c r="C6" s="12">
        <v>3213903</v>
      </c>
      <c r="D6" s="12">
        <v>3315080</v>
      </c>
      <c r="E6" s="12">
        <v>3459158</v>
      </c>
      <c r="F6" s="12">
        <v>3581355</v>
      </c>
      <c r="G6" s="12">
        <v>3592038</v>
      </c>
    </row>
    <row r="7" spans="1:7" x14ac:dyDescent="0.15">
      <c r="A7" t="s">
        <v>11</v>
      </c>
      <c r="B7" t="s">
        <v>15</v>
      </c>
      <c r="C7" s="12">
        <v>10487706</v>
      </c>
      <c r="D7" s="12">
        <v>10544446</v>
      </c>
      <c r="E7" s="12">
        <v>10756515</v>
      </c>
      <c r="F7" s="12">
        <v>10886018</v>
      </c>
      <c r="G7" s="12">
        <v>10926031</v>
      </c>
    </row>
    <row r="8" spans="1:7" x14ac:dyDescent="0.15">
      <c r="B8" s="10" t="s">
        <v>24</v>
      </c>
      <c r="C8" s="13">
        <f>SUM(C2:C7)</f>
        <v>19241913</v>
      </c>
      <c r="D8" s="13">
        <f t="shared" ref="D8:G8" si="0">SUM(D2:D7)</f>
        <v>19369458</v>
      </c>
      <c r="E8" s="13">
        <f t="shared" si="0"/>
        <v>19893142</v>
      </c>
      <c r="F8" s="13">
        <f t="shared" si="0"/>
        <v>20102198</v>
      </c>
      <c r="G8" s="13">
        <f t="shared" si="0"/>
        <v>20062953</v>
      </c>
    </row>
  </sheetData>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F1CC6-A01F-8847-988A-08519C02FA80}">
  <dimension ref="A1:H7"/>
  <sheetViews>
    <sheetView zoomScale="228" workbookViewId="0">
      <selection sqref="A1:C2"/>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s="17" t="s">
        <v>6</v>
      </c>
      <c r="B2" s="17" t="s">
        <v>12</v>
      </c>
      <c r="C2" s="17" t="s">
        <v>17</v>
      </c>
      <c r="D2">
        <v>24.326545295515945</v>
      </c>
      <c r="E2">
        <v>22.112796600774892</v>
      </c>
      <c r="F2">
        <v>13.51354444508774</v>
      </c>
      <c r="G2">
        <v>22.879538397140056</v>
      </c>
      <c r="H2">
        <v>29.422781790989337</v>
      </c>
    </row>
    <row r="3" spans="1:8" x14ac:dyDescent="0.15">
      <c r="A3" s="17" t="s">
        <v>7</v>
      </c>
      <c r="B3" s="17" t="s">
        <v>12</v>
      </c>
      <c r="C3" s="17" t="s">
        <v>17</v>
      </c>
      <c r="D3">
        <v>61.325025761529403</v>
      </c>
      <c r="E3">
        <v>61.636998240218446</v>
      </c>
      <c r="F3">
        <v>59.257729335797677</v>
      </c>
      <c r="G3">
        <v>62.394091834933725</v>
      </c>
      <c r="H3">
        <v>61.109107109328569</v>
      </c>
    </row>
    <row r="4" spans="1:8" x14ac:dyDescent="0.15">
      <c r="A4" s="17" t="s">
        <v>8</v>
      </c>
      <c r="B4" s="17" t="s">
        <v>12</v>
      </c>
      <c r="C4" s="17" t="s">
        <v>17</v>
      </c>
      <c r="D4">
        <v>84.408254258718515</v>
      </c>
      <c r="E4">
        <v>84.483796290571661</v>
      </c>
      <c r="F4">
        <v>84.420117676039581</v>
      </c>
      <c r="G4">
        <v>83.859835014364833</v>
      </c>
      <c r="H4">
        <v>84.74323263091577</v>
      </c>
    </row>
    <row r="5" spans="1:8" x14ac:dyDescent="0.15">
      <c r="A5" s="17" t="s">
        <v>9</v>
      </c>
      <c r="B5" s="17" t="s">
        <v>12</v>
      </c>
      <c r="C5" s="17" t="s">
        <v>17</v>
      </c>
      <c r="D5">
        <v>85.316598281340674</v>
      </c>
      <c r="E5">
        <v>84.899550718338148</v>
      </c>
      <c r="F5">
        <v>84.693814996477798</v>
      </c>
      <c r="G5">
        <v>85.130593652625095</v>
      </c>
      <c r="H5">
        <v>85.356476390736645</v>
      </c>
    </row>
    <row r="6" spans="1:8" x14ac:dyDescent="0.15">
      <c r="A6" s="17" t="s">
        <v>10</v>
      </c>
      <c r="B6" s="17" t="s">
        <v>12</v>
      </c>
      <c r="C6" s="17" t="s">
        <v>17</v>
      </c>
      <c r="D6">
        <v>72.624614475213605</v>
      </c>
      <c r="E6">
        <v>72.152175814100517</v>
      </c>
      <c r="F6">
        <v>70.653190950683097</v>
      </c>
      <c r="G6">
        <v>70.692092871347199</v>
      </c>
      <c r="H6">
        <v>70.773979420949132</v>
      </c>
    </row>
    <row r="7" spans="1:8" x14ac:dyDescent="0.15">
      <c r="A7" s="17" t="s">
        <v>11</v>
      </c>
      <c r="B7" s="17" t="s">
        <v>12</v>
      </c>
      <c r="C7" s="1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D4A5-1A7F-B846-9022-E942521E0751}">
  <dimension ref="A1:H7"/>
  <sheetViews>
    <sheetView zoomScale="230" workbookViewId="0">
      <selection activeCell="B13" sqref="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s="17" t="s">
        <v>6</v>
      </c>
      <c r="B2" s="17" t="s">
        <v>12</v>
      </c>
      <c r="C2" s="17" t="s">
        <v>17</v>
      </c>
      <c r="D2">
        <v>24.326545295515945</v>
      </c>
      <c r="E2">
        <v>22.112796600774892</v>
      </c>
      <c r="F2">
        <v>13.51354444508774</v>
      </c>
      <c r="G2">
        <v>22.879538397140056</v>
      </c>
      <c r="H2">
        <v>29.422781790989337</v>
      </c>
    </row>
    <row r="3" spans="1:8" x14ac:dyDescent="0.15">
      <c r="A3" s="17" t="s">
        <v>7</v>
      </c>
      <c r="B3" s="17" t="s">
        <v>12</v>
      </c>
      <c r="C3" s="17" t="s">
        <v>17</v>
      </c>
      <c r="D3">
        <v>61.325025761529403</v>
      </c>
      <c r="E3">
        <v>61.636998240218446</v>
      </c>
      <c r="F3">
        <v>59.257729335797677</v>
      </c>
      <c r="G3">
        <v>62.394091834933725</v>
      </c>
      <c r="H3">
        <v>61.109107109328569</v>
      </c>
    </row>
    <row r="4" spans="1:8" x14ac:dyDescent="0.15">
      <c r="A4" s="17" t="s">
        <v>8</v>
      </c>
      <c r="B4" s="17" t="s">
        <v>12</v>
      </c>
      <c r="C4" s="17" t="s">
        <v>17</v>
      </c>
      <c r="D4">
        <v>84.408254258718515</v>
      </c>
      <c r="E4">
        <v>84.483796290571661</v>
      </c>
      <c r="F4">
        <v>84.420117676039581</v>
      </c>
      <c r="G4">
        <v>83.859835014364833</v>
      </c>
      <c r="H4">
        <v>84.74323263091577</v>
      </c>
    </row>
    <row r="5" spans="1:8" x14ac:dyDescent="0.15">
      <c r="A5" s="17" t="s">
        <v>9</v>
      </c>
      <c r="B5" s="17" t="s">
        <v>12</v>
      </c>
      <c r="C5" s="17" t="s">
        <v>17</v>
      </c>
      <c r="D5">
        <v>85.316598281340674</v>
      </c>
      <c r="E5">
        <v>84.899550718338148</v>
      </c>
      <c r="F5">
        <v>84.693814996477798</v>
      </c>
      <c r="G5">
        <v>85.130593652625095</v>
      </c>
      <c r="H5">
        <v>85.356476390736645</v>
      </c>
    </row>
    <row r="6" spans="1:8" x14ac:dyDescent="0.15">
      <c r="A6" s="17" t="s">
        <v>10</v>
      </c>
      <c r="B6" s="17" t="s">
        <v>12</v>
      </c>
      <c r="C6" s="17" t="s">
        <v>17</v>
      </c>
      <c r="D6">
        <v>72.624614475213605</v>
      </c>
      <c r="E6">
        <v>72.152175814100517</v>
      </c>
      <c r="F6">
        <v>70.653190950683097</v>
      </c>
      <c r="G6">
        <v>70.692092871347199</v>
      </c>
      <c r="H6">
        <v>70.773979420949132</v>
      </c>
    </row>
    <row r="7" spans="1:8" x14ac:dyDescent="0.15">
      <c r="A7" s="17" t="s">
        <v>11</v>
      </c>
      <c r="B7" s="17" t="s">
        <v>12</v>
      </c>
      <c r="C7" s="1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02F9-BC34-B54A-A7F6-B593B1E2D96E}">
  <dimension ref="A1:H7"/>
  <sheetViews>
    <sheetView zoomScale="220" workbookViewId="0">
      <selection activeCell="D13" sqref="D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s="17" t="s">
        <v>6</v>
      </c>
      <c r="B2" s="17" t="s">
        <v>14</v>
      </c>
      <c r="C2" s="17" t="s">
        <v>17</v>
      </c>
      <c r="D2">
        <v>29.201941186013869</v>
      </c>
      <c r="E2">
        <v>29.342828873032389</v>
      </c>
      <c r="F2">
        <v>19.277221177240431</v>
      </c>
      <c r="G2">
        <v>28.96520797137935</v>
      </c>
      <c r="H2">
        <v>33.815505224777858</v>
      </c>
    </row>
    <row r="3" spans="1:8" x14ac:dyDescent="0.15">
      <c r="A3" s="17" t="s">
        <v>7</v>
      </c>
      <c r="B3" s="17" t="s">
        <v>14</v>
      </c>
      <c r="C3" s="17" t="s">
        <v>17</v>
      </c>
      <c r="D3">
        <v>67.678845082569183</v>
      </c>
      <c r="E3">
        <v>68.617549829752164</v>
      </c>
      <c r="F3">
        <v>66.494385776618387</v>
      </c>
      <c r="G3">
        <v>68.07584302527539</v>
      </c>
      <c r="H3">
        <v>67.701997584618155</v>
      </c>
    </row>
    <row r="4" spans="1:8" x14ac:dyDescent="0.15">
      <c r="A4" s="17" t="s">
        <v>8</v>
      </c>
      <c r="B4" s="17" t="s">
        <v>14</v>
      </c>
      <c r="C4" s="17" t="s">
        <v>17</v>
      </c>
      <c r="D4">
        <v>87.189682142905681</v>
      </c>
      <c r="E4">
        <v>87.409483846875531</v>
      </c>
      <c r="F4">
        <v>87.931216837651021</v>
      </c>
      <c r="G4">
        <v>86.794159978942773</v>
      </c>
      <c r="H4">
        <v>87.890028331811109</v>
      </c>
    </row>
    <row r="5" spans="1:8" x14ac:dyDescent="0.15">
      <c r="A5" s="17" t="s">
        <v>9</v>
      </c>
      <c r="B5" s="17" t="s">
        <v>14</v>
      </c>
      <c r="C5" s="17" t="s">
        <v>17</v>
      </c>
      <c r="D5">
        <v>87.681077357044316</v>
      </c>
      <c r="E5">
        <v>87.277580534762535</v>
      </c>
      <c r="F5">
        <v>87.725255087874515</v>
      </c>
      <c r="G5">
        <v>87.360218235688109</v>
      </c>
      <c r="H5">
        <v>87.489243620137813</v>
      </c>
    </row>
    <row r="6" spans="1:8" x14ac:dyDescent="0.15">
      <c r="A6" s="17" t="s">
        <v>10</v>
      </c>
      <c r="B6" s="17" t="s">
        <v>14</v>
      </c>
      <c r="C6" s="17" t="s">
        <v>17</v>
      </c>
      <c r="D6">
        <v>74.743766044459719</v>
      </c>
      <c r="E6">
        <v>74.276913555522157</v>
      </c>
      <c r="F6">
        <v>73.509196460886145</v>
      </c>
      <c r="G6">
        <v>72.823347719368059</v>
      </c>
      <c r="H6">
        <v>72.884469359132879</v>
      </c>
    </row>
    <row r="7" spans="1:8" x14ac:dyDescent="0.15">
      <c r="A7" s="17" t="s">
        <v>11</v>
      </c>
      <c r="B7" s="17" t="s">
        <v>14</v>
      </c>
      <c r="C7" s="17" t="s">
        <v>17</v>
      </c>
      <c r="D7">
        <v>11.092233034399996</v>
      </c>
      <c r="E7">
        <v>11.600516290168756</v>
      </c>
      <c r="F7">
        <v>10.938897205423558</v>
      </c>
      <c r="G7">
        <v>11.179805359587384</v>
      </c>
      <c r="H7">
        <v>12.244062977516922</v>
      </c>
    </row>
  </sheetData>
  <pageMargins left="0.7" right="0.7" top="0.75" bottom="0.75" header="0.3" footer="0.3"/>
  <pageSetup paperSize="9"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1A68-3CD5-7A46-8309-EFCD15E7A930}">
  <dimension ref="A1:H7"/>
  <sheetViews>
    <sheetView zoomScale="208" workbookViewId="0">
      <selection activeCell="D1" sqref="D1:H1"/>
    </sheetView>
  </sheetViews>
  <sheetFormatPr baseColWidth="10" defaultRowHeight="13" x14ac:dyDescent="0.15"/>
  <cols>
    <col min="1" max="1" width="20.66406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s="17" t="s">
        <v>6</v>
      </c>
      <c r="B2" s="17" t="s">
        <v>15</v>
      </c>
      <c r="C2" s="17" t="s">
        <v>17</v>
      </c>
      <c r="D2">
        <v>70.798058813986131</v>
      </c>
      <c r="E2">
        <v>70.657171126967611</v>
      </c>
      <c r="F2">
        <v>80.722778822759565</v>
      </c>
      <c r="G2">
        <v>71.034792028620643</v>
      </c>
      <c r="H2">
        <v>66.184494775222134</v>
      </c>
    </row>
    <row r="3" spans="1:8" x14ac:dyDescent="0.15">
      <c r="A3" s="17" t="s">
        <v>7</v>
      </c>
      <c r="B3" s="17" t="s">
        <v>15</v>
      </c>
      <c r="C3" s="17" t="s">
        <v>17</v>
      </c>
      <c r="D3">
        <v>32.321154917430817</v>
      </c>
      <c r="E3">
        <v>31.382450170247836</v>
      </c>
      <c r="F3">
        <v>33.505614223381613</v>
      </c>
      <c r="G3">
        <v>31.92415697472461</v>
      </c>
      <c r="H3">
        <v>32.298002415381845</v>
      </c>
    </row>
    <row r="4" spans="1:8" x14ac:dyDescent="0.15">
      <c r="A4" s="17" t="s">
        <v>8</v>
      </c>
      <c r="B4" s="17" t="s">
        <v>15</v>
      </c>
      <c r="C4" s="17" t="s">
        <v>17</v>
      </c>
      <c r="D4">
        <v>12.81031785709432</v>
      </c>
      <c r="E4">
        <v>12.590516153124469</v>
      </c>
      <c r="F4">
        <v>12.06878316234898</v>
      </c>
      <c r="G4">
        <v>13.205840021057227</v>
      </c>
      <c r="H4">
        <v>12.109971668188892</v>
      </c>
    </row>
    <row r="5" spans="1:8" x14ac:dyDescent="0.15">
      <c r="A5" s="17" t="s">
        <v>9</v>
      </c>
      <c r="B5" s="17" t="s">
        <v>15</v>
      </c>
      <c r="C5" s="17" t="s">
        <v>17</v>
      </c>
      <c r="D5">
        <v>12.318922642955684</v>
      </c>
      <c r="E5">
        <v>12.722419465237463</v>
      </c>
      <c r="F5">
        <v>12.274744912125485</v>
      </c>
      <c r="G5">
        <v>12.639781764311891</v>
      </c>
      <c r="H5">
        <v>12.510756379862189</v>
      </c>
    </row>
    <row r="6" spans="1:8" x14ac:dyDescent="0.15">
      <c r="A6" s="17" t="s">
        <v>10</v>
      </c>
      <c r="B6" s="17" t="s">
        <v>15</v>
      </c>
      <c r="C6" s="17" t="s">
        <v>17</v>
      </c>
      <c r="D6">
        <v>25.256233955540296</v>
      </c>
      <c r="E6">
        <v>25.723086444477843</v>
      </c>
      <c r="F6">
        <v>26.490803539113855</v>
      </c>
      <c r="G6">
        <v>27.176652280631941</v>
      </c>
      <c r="H6">
        <v>27.115530640867121</v>
      </c>
    </row>
    <row r="7" spans="1:8" x14ac:dyDescent="0.15">
      <c r="A7" s="17" t="s">
        <v>11</v>
      </c>
      <c r="B7" s="17" t="s">
        <v>15</v>
      </c>
      <c r="C7" s="17" t="s">
        <v>17</v>
      </c>
      <c r="D7">
        <v>88.907766965600004</v>
      </c>
      <c r="E7">
        <v>88.399483709831244</v>
      </c>
      <c r="F7">
        <v>89.061102794576442</v>
      </c>
      <c r="G7">
        <v>88.820194640412609</v>
      </c>
      <c r="H7">
        <v>87.755937022483081</v>
      </c>
    </row>
  </sheetData>
  <pageMargins left="0.7" right="0.7" top="0.75" bottom="0.75" header="0.3" footer="0.3"/>
  <pageSetup paperSize="9" orientation="portrait" horizontalDpi="0" verticalDpi="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7D5E-BB72-0841-A975-E23071EF9911}">
  <sheetPr>
    <pageSetUpPr fitToPage="1"/>
  </sheetPr>
  <dimension ref="A1:G15"/>
  <sheetViews>
    <sheetView tabSelected="1" zoomScale="213" workbookViewId="0">
      <selection activeCell="C20" sqref="C20"/>
    </sheetView>
  </sheetViews>
  <sheetFormatPr baseColWidth="10" defaultRowHeight="13" x14ac:dyDescent="0.15"/>
  <cols>
    <col min="1" max="1" width="10.33203125" customWidth="1"/>
    <col min="2" max="2" width="12.6640625" customWidth="1"/>
    <col min="3" max="4" width="10.1640625" customWidth="1"/>
    <col min="5" max="7" width="10.1640625" bestFit="1" customWidth="1"/>
  </cols>
  <sheetData>
    <row r="1" spans="1:7" x14ac:dyDescent="0.15">
      <c r="A1" t="s">
        <v>26</v>
      </c>
      <c r="B1" t="s">
        <v>28</v>
      </c>
      <c r="C1" t="s">
        <v>18</v>
      </c>
      <c r="D1" t="s">
        <v>19</v>
      </c>
      <c r="E1" t="s">
        <v>20</v>
      </c>
      <c r="F1" t="s">
        <v>21</v>
      </c>
      <c r="G1" t="s">
        <v>22</v>
      </c>
    </row>
    <row r="2" spans="1:7" x14ac:dyDescent="0.15">
      <c r="A2" s="17" t="s">
        <v>6</v>
      </c>
      <c r="B2" s="17" t="s">
        <v>13</v>
      </c>
      <c r="C2">
        <v>69118</v>
      </c>
      <c r="D2">
        <v>105004</v>
      </c>
      <c r="E2">
        <v>85614</v>
      </c>
      <c r="F2">
        <v>91738</v>
      </c>
      <c r="G2">
        <v>67407</v>
      </c>
    </row>
    <row r="3" spans="1:7" x14ac:dyDescent="0.15">
      <c r="A3" s="17" t="s">
        <v>7</v>
      </c>
      <c r="B3" s="17" t="s">
        <v>13</v>
      </c>
      <c r="C3">
        <v>355408</v>
      </c>
      <c r="D3">
        <v>384335</v>
      </c>
      <c r="E3">
        <v>395925</v>
      </c>
      <c r="F3">
        <v>313230</v>
      </c>
      <c r="G3">
        <v>369744</v>
      </c>
    </row>
    <row r="4" spans="1:7" x14ac:dyDescent="0.15">
      <c r="A4" s="17" t="s">
        <v>8</v>
      </c>
      <c r="B4" s="17" t="s">
        <v>13</v>
      </c>
      <c r="C4">
        <v>247633</v>
      </c>
      <c r="D4">
        <v>260267</v>
      </c>
      <c r="E4">
        <v>311719</v>
      </c>
      <c r="F4">
        <v>261978</v>
      </c>
      <c r="G4">
        <v>283660</v>
      </c>
    </row>
    <row r="5" spans="1:7" x14ac:dyDescent="0.15">
      <c r="A5" s="17" t="s">
        <v>9</v>
      </c>
      <c r="B5" s="17" t="s">
        <v>13</v>
      </c>
      <c r="C5">
        <v>304832</v>
      </c>
      <c r="D5">
        <v>305769</v>
      </c>
      <c r="E5">
        <v>388675</v>
      </c>
      <c r="F5">
        <v>286653</v>
      </c>
      <c r="G5">
        <v>277244</v>
      </c>
    </row>
    <row r="6" spans="1:7" x14ac:dyDescent="0.15">
      <c r="A6" s="17" t="s">
        <v>10</v>
      </c>
      <c r="B6" s="17" t="s">
        <v>13</v>
      </c>
      <c r="C6">
        <v>269666</v>
      </c>
      <c r="D6">
        <v>273827</v>
      </c>
      <c r="E6">
        <v>372936</v>
      </c>
      <c r="F6">
        <v>280858</v>
      </c>
      <c r="G6">
        <v>279580</v>
      </c>
    </row>
    <row r="7" spans="1:7" x14ac:dyDescent="0.15">
      <c r="A7" s="17" t="s">
        <v>11</v>
      </c>
      <c r="B7" s="17" t="s">
        <v>13</v>
      </c>
      <c r="C7">
        <v>17198</v>
      </c>
      <c r="D7">
        <v>21497</v>
      </c>
      <c r="E7">
        <v>35663</v>
      </c>
      <c r="F7">
        <v>24879</v>
      </c>
      <c r="G7">
        <v>28139</v>
      </c>
    </row>
    <row r="8" spans="1:7" x14ac:dyDescent="0.15">
      <c r="A8" s="17"/>
      <c r="B8" s="17" t="s">
        <v>23</v>
      </c>
      <c r="C8">
        <v>1263855</v>
      </c>
      <c r="D8">
        <v>1350699</v>
      </c>
      <c r="E8">
        <v>1590532</v>
      </c>
      <c r="F8">
        <v>1259336</v>
      </c>
      <c r="G8">
        <v>1305774</v>
      </c>
    </row>
    <row r="9" spans="1:7" x14ac:dyDescent="0.15">
      <c r="A9" s="17" t="s">
        <v>6</v>
      </c>
      <c r="B9" s="17" t="s">
        <v>15</v>
      </c>
      <c r="C9">
        <v>1003697</v>
      </c>
      <c r="D9">
        <v>1026176</v>
      </c>
      <c r="E9">
        <v>1199061</v>
      </c>
      <c r="F9">
        <v>1070809</v>
      </c>
      <c r="G9">
        <v>1015611</v>
      </c>
    </row>
    <row r="10" spans="1:7" x14ac:dyDescent="0.15">
      <c r="A10" s="17" t="s">
        <v>7</v>
      </c>
      <c r="B10" s="17" t="s">
        <v>15</v>
      </c>
      <c r="C10">
        <v>1807920</v>
      </c>
      <c r="D10">
        <v>1727854</v>
      </c>
      <c r="E10">
        <v>1833127</v>
      </c>
      <c r="F10">
        <v>1759951</v>
      </c>
      <c r="G10">
        <v>1811344</v>
      </c>
    </row>
    <row r="11" spans="1:7" x14ac:dyDescent="0.15">
      <c r="A11" s="17" t="s">
        <v>8</v>
      </c>
      <c r="B11" s="17" t="s">
        <v>15</v>
      </c>
      <c r="C11">
        <v>1140514</v>
      </c>
      <c r="D11">
        <v>1120043</v>
      </c>
      <c r="E11">
        <v>1071479</v>
      </c>
      <c r="F11">
        <v>1179024</v>
      </c>
      <c r="G11">
        <v>1091623</v>
      </c>
    </row>
    <row r="12" spans="1:7" x14ac:dyDescent="0.15">
      <c r="A12" s="17" t="s">
        <v>9</v>
      </c>
      <c r="B12" s="17" t="s">
        <v>15</v>
      </c>
      <c r="C12">
        <v>1588173</v>
      </c>
      <c r="D12">
        <v>1635859</v>
      </c>
      <c r="E12">
        <v>1573802</v>
      </c>
      <c r="F12">
        <v>1625041</v>
      </c>
      <c r="G12">
        <v>1626306</v>
      </c>
    </row>
    <row r="13" spans="1:7" x14ac:dyDescent="0.15">
      <c r="A13" s="17" t="s">
        <v>10</v>
      </c>
      <c r="B13" s="17" t="s">
        <v>15</v>
      </c>
      <c r="C13">
        <v>3213903</v>
      </c>
      <c r="D13">
        <v>3315080</v>
      </c>
      <c r="E13">
        <v>3459158</v>
      </c>
      <c r="F13">
        <v>3581355</v>
      </c>
      <c r="G13">
        <v>3592038</v>
      </c>
    </row>
    <row r="14" spans="1:7" x14ac:dyDescent="0.15">
      <c r="A14" s="17" t="s">
        <v>11</v>
      </c>
      <c r="B14" s="17" t="s">
        <v>15</v>
      </c>
      <c r="C14">
        <v>10487706</v>
      </c>
      <c r="D14">
        <v>10544446</v>
      </c>
      <c r="E14">
        <v>10756515</v>
      </c>
      <c r="F14">
        <v>10886018</v>
      </c>
      <c r="G14">
        <v>10926031</v>
      </c>
    </row>
    <row r="15" spans="1:7" x14ac:dyDescent="0.15">
      <c r="A15" s="17"/>
      <c r="B15" s="17" t="s">
        <v>24</v>
      </c>
      <c r="C15">
        <v>19241913</v>
      </c>
      <c r="D15">
        <v>19369458</v>
      </c>
      <c r="E15">
        <v>19893142</v>
      </c>
      <c r="F15">
        <v>20102198</v>
      </c>
      <c r="G15">
        <v>20062953</v>
      </c>
    </row>
  </sheetData>
  <pageMargins left="1" right="1" top="1" bottom="1" header="0.5" footer="0.5"/>
  <pageSetup paperSize="9" orientation="landscape"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A7C1-9EB7-AA4A-850C-30F04CCAD80A}">
  <dimension ref="A1:H13"/>
  <sheetViews>
    <sheetView zoomScale="230" zoomScaleNormal="157" workbookViewId="0">
      <selection activeCell="D16" sqref="D16"/>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s="17" t="s">
        <v>6</v>
      </c>
      <c r="B2" s="17" t="s">
        <v>12</v>
      </c>
      <c r="C2" s="17" t="s">
        <v>17</v>
      </c>
      <c r="D2">
        <v>24.326545295515945</v>
      </c>
      <c r="E2">
        <v>22.112796600774892</v>
      </c>
      <c r="F2">
        <v>13.51354444508774</v>
      </c>
      <c r="G2">
        <v>22.879538397140056</v>
      </c>
      <c r="H2">
        <v>29.422781790989337</v>
      </c>
    </row>
    <row r="3" spans="1:8" x14ac:dyDescent="0.15">
      <c r="A3" s="17" t="s">
        <v>7</v>
      </c>
      <c r="B3" s="17" t="s">
        <v>12</v>
      </c>
      <c r="C3" s="17" t="s">
        <v>17</v>
      </c>
      <c r="D3">
        <v>61.325025761529403</v>
      </c>
      <c r="E3">
        <v>61.636998240218446</v>
      </c>
      <c r="F3">
        <v>59.257729335797677</v>
      </c>
      <c r="G3">
        <v>62.394091834933725</v>
      </c>
      <c r="H3">
        <v>61.109107109328569</v>
      </c>
    </row>
    <row r="4" spans="1:8" x14ac:dyDescent="0.15">
      <c r="A4" s="17" t="s">
        <v>8</v>
      </c>
      <c r="B4" s="17" t="s">
        <v>12</v>
      </c>
      <c r="C4" s="17" t="s">
        <v>17</v>
      </c>
      <c r="D4">
        <v>84.408254258718515</v>
      </c>
      <c r="E4">
        <v>84.483796290571661</v>
      </c>
      <c r="F4">
        <v>84.420117676039581</v>
      </c>
      <c r="G4">
        <v>83.859835014364833</v>
      </c>
      <c r="H4">
        <v>84.74323263091577</v>
      </c>
    </row>
    <row r="5" spans="1:8" x14ac:dyDescent="0.15">
      <c r="A5" s="17" t="s">
        <v>9</v>
      </c>
      <c r="B5" s="17" t="s">
        <v>12</v>
      </c>
      <c r="C5" s="17" t="s">
        <v>17</v>
      </c>
      <c r="D5">
        <v>85.316598281340674</v>
      </c>
      <c r="E5">
        <v>84.899550718338148</v>
      </c>
      <c r="F5">
        <v>84.693814996477798</v>
      </c>
      <c r="G5">
        <v>85.130593652625095</v>
      </c>
      <c r="H5">
        <v>85.356476390736645</v>
      </c>
    </row>
    <row r="6" spans="1:8" x14ac:dyDescent="0.15">
      <c r="A6" s="17" t="s">
        <v>10</v>
      </c>
      <c r="B6" s="17" t="s">
        <v>12</v>
      </c>
      <c r="C6" s="17" t="s">
        <v>17</v>
      </c>
      <c r="D6">
        <v>72.624614475213605</v>
      </c>
      <c r="E6">
        <v>72.152175814100517</v>
      </c>
      <c r="F6">
        <v>70.653190950683097</v>
      </c>
      <c r="G6">
        <v>70.692092871347199</v>
      </c>
      <c r="H6">
        <v>70.773979420949132</v>
      </c>
    </row>
    <row r="7" spans="1:8" x14ac:dyDescent="0.15">
      <c r="A7" s="17" t="s">
        <v>11</v>
      </c>
      <c r="B7" s="17" t="s">
        <v>12</v>
      </c>
      <c r="C7" s="17" t="s">
        <v>17</v>
      </c>
      <c r="D7">
        <v>10.946439876556481</v>
      </c>
      <c r="E7">
        <v>11.420295944660776</v>
      </c>
      <c r="F7">
        <v>10.643616986043677</v>
      </c>
      <c r="G7">
        <v>10.976814916024017</v>
      </c>
      <c r="H7">
        <v>12.018055536033764</v>
      </c>
    </row>
    <row r="8" spans="1:8" x14ac:dyDescent="0.15">
      <c r="A8" s="17" t="s">
        <v>6</v>
      </c>
      <c r="B8" s="17" t="s">
        <v>15</v>
      </c>
      <c r="C8" s="17" t="s">
        <v>17</v>
      </c>
      <c r="D8">
        <v>70.798058813986131</v>
      </c>
      <c r="E8">
        <v>70.657171126967611</v>
      </c>
      <c r="F8">
        <v>80.722778822759565</v>
      </c>
      <c r="G8">
        <v>71.034792028620643</v>
      </c>
      <c r="H8">
        <v>66.184494775222134</v>
      </c>
    </row>
    <row r="9" spans="1:8" x14ac:dyDescent="0.15">
      <c r="A9" s="17" t="s">
        <v>7</v>
      </c>
      <c r="B9" s="17" t="s">
        <v>15</v>
      </c>
      <c r="C9" s="17" t="s">
        <v>17</v>
      </c>
      <c r="D9">
        <v>32.321154917430817</v>
      </c>
      <c r="E9">
        <v>31.382450170247836</v>
      </c>
      <c r="F9">
        <v>33.505614223381613</v>
      </c>
      <c r="G9">
        <v>31.92415697472461</v>
      </c>
      <c r="H9">
        <v>32.298002415381845</v>
      </c>
    </row>
    <row r="10" spans="1:8" x14ac:dyDescent="0.15">
      <c r="A10" s="17" t="s">
        <v>8</v>
      </c>
      <c r="B10" s="17" t="s">
        <v>15</v>
      </c>
      <c r="C10" s="17" t="s">
        <v>17</v>
      </c>
      <c r="D10">
        <v>12.81031785709432</v>
      </c>
      <c r="E10">
        <v>12.590516153124469</v>
      </c>
      <c r="F10">
        <v>12.06878316234898</v>
      </c>
      <c r="G10">
        <v>13.205840021057227</v>
      </c>
      <c r="H10">
        <v>12.109971668188892</v>
      </c>
    </row>
    <row r="11" spans="1:8" x14ac:dyDescent="0.15">
      <c r="A11" s="17" t="s">
        <v>9</v>
      </c>
      <c r="B11" s="17" t="s">
        <v>15</v>
      </c>
      <c r="C11" s="17" t="s">
        <v>17</v>
      </c>
      <c r="D11">
        <v>12.318922642955684</v>
      </c>
      <c r="E11">
        <v>12.722419465237463</v>
      </c>
      <c r="F11">
        <v>12.274744912125485</v>
      </c>
      <c r="G11">
        <v>12.639781764311891</v>
      </c>
      <c r="H11">
        <v>12.510756379862189</v>
      </c>
    </row>
    <row r="12" spans="1:8" x14ac:dyDescent="0.15">
      <c r="A12" s="17" t="s">
        <v>10</v>
      </c>
      <c r="B12" s="17" t="s">
        <v>15</v>
      </c>
      <c r="C12" s="17" t="s">
        <v>17</v>
      </c>
      <c r="D12">
        <v>25.256233955540296</v>
      </c>
      <c r="E12">
        <v>25.723086444477843</v>
      </c>
      <c r="F12">
        <v>26.490803539113855</v>
      </c>
      <c r="G12">
        <v>27.176652280631941</v>
      </c>
      <c r="H12">
        <v>27.115530640867121</v>
      </c>
    </row>
    <row r="13" spans="1:8" x14ac:dyDescent="0.15">
      <c r="A13" s="17" t="s">
        <v>11</v>
      </c>
      <c r="B13" s="17" t="s">
        <v>15</v>
      </c>
      <c r="C13" s="17" t="s">
        <v>17</v>
      </c>
      <c r="D13">
        <v>88.907766965600004</v>
      </c>
      <c r="E13">
        <v>88.399483709831244</v>
      </c>
      <c r="F13">
        <v>89.061102794576442</v>
      </c>
      <c r="G13">
        <v>88.820194640412609</v>
      </c>
      <c r="H13">
        <v>87.755937022483081</v>
      </c>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1CED62-A8A7-2446-B025-CDAE5E2125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Note</vt:lpstr>
      <vt:lpstr>People</vt:lpstr>
      <vt:lpstr>Employment</vt:lpstr>
      <vt:lpstr>Unemployment</vt:lpstr>
      <vt:lpstr>Activity</vt:lpstr>
      <vt:lpstr>Inactivity</vt:lpstr>
      <vt:lpstr>Employment (%)</vt:lpstr>
      <vt:lpstr>Unemployment (%)</vt:lpstr>
      <vt:lpstr>Activity (%)</vt:lpstr>
      <vt:lpstr>Inactivity (%)</vt:lpstr>
      <vt:lpstr>Working_Age_Labour_Status_Level</vt:lpstr>
      <vt:lpstr>Working_Age_Labour_Status_Rate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Areeba Malik</cp:lastModifiedBy>
  <cp:lastPrinted>2026-02-10T14:11:12Z</cp:lastPrinted>
  <dcterms:modified xsi:type="dcterms:W3CDTF">2026-02-10T14:11:15Z</dcterms:modified>
</cp:coreProperties>
</file>