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macbookair/Desktop/"/>
    </mc:Choice>
  </mc:AlternateContent>
  <xr:revisionPtr revIDLastSave="0" documentId="13_ncr:1_{7060E254-32C6-3A48-A375-AA46420A2D2D}" xr6:coauthVersionLast="47" xr6:coauthVersionMax="47" xr10:uidLastSave="{00000000-0000-0000-0000-000000000000}"/>
  <bookViews>
    <workbookView xWindow="0" yWindow="0" windowWidth="28800" windowHeight="18000" activeTab="1" xr2:uid="{00000000-000D-0000-FFFF-FFFF00000000}"/>
  </bookViews>
  <sheets>
    <sheet name="Note" sheetId="1" r:id="rId1"/>
    <sheet name="People" sheetId="5" r:id="rId2"/>
    <sheet name="Employment" sheetId="7" r:id="rId3"/>
    <sheet name="Unemployment" sheetId="8" r:id="rId4"/>
    <sheet name="Activity" sheetId="9" r:id="rId5"/>
    <sheet name="Inactivity" sheetId="10" r:id="rId6"/>
  </sheets>
  <definedNames>
    <definedName name="ExternalData_1" localSheetId="1" hidden="1">People!$A$1:$H$50</definedName>
    <definedName name="ExternalData_2" localSheetId="2" hidden="1">Employment!$A$1:$G$8</definedName>
    <definedName name="ExternalData_3" localSheetId="3" hidden="1">Unemployment!$A$1:$G$8</definedName>
    <definedName name="ExternalData_4" localSheetId="4" hidden="1">Activity!$A$1:$G$8</definedName>
    <definedName name="ExternalData_5" localSheetId="5" hidden="1">Inactivity!$A$1:$G$8</definedName>
    <definedName name="SECT01" localSheetId="0">#REF!</definedName>
    <definedName name="SECT01">#REF!</definedName>
    <definedName name="SECT02" localSheetId="0">#REF!</definedName>
    <definedName name="SECT02">#REF!</definedName>
    <definedName name="SECT03" localSheetId="0">#REF!</definedName>
    <definedName name="SECT03">#REF!</definedName>
    <definedName name="TARG001" localSheetId="0">#REF!</definedName>
    <definedName name="TARG001">#REF!</definedName>
    <definedName name="TARG002" localSheetId="0">#REF!</definedName>
    <definedName name="TARG002">#REF!</definedName>
    <definedName name="TARG003" localSheetId="0">#REF!</definedName>
    <definedName name="TARG003">#REF!</definedName>
    <definedName name="TARG004" localSheetId="0">#REF!</definedName>
    <definedName name="TARG004">#REF!</definedName>
    <definedName name="TARG005" localSheetId="0">#REF!</definedName>
    <definedName name="TARG005">#REF!</definedName>
    <definedName name="TARG006" localSheetId="0">#REF!</definedName>
    <definedName name="TARG006">#REF!</definedName>
    <definedName name="TARG007" localSheetId="0">#REF!</definedName>
    <definedName name="TARG007">#REF!</definedName>
    <definedName name="TARG008" localSheetId="0">#REF!</definedName>
    <definedName name="TARG008">#REF!</definedName>
    <definedName name="TARG009" localSheetId="0">#REF!</definedName>
    <definedName name="TARG009">#REF!</definedName>
    <definedName name="TARG010" localSheetId="0">#REF!</definedName>
    <definedName name="TARG010">#REF!</definedName>
    <definedName name="TARG011" localSheetId="0">#REF!</definedName>
    <definedName name="TARG011">#REF!</definedName>
    <definedName name="TARG012" localSheetId="0">#REF!</definedName>
    <definedName name="TARG012">#REF!</definedName>
    <definedName name="TARG013" localSheetId="0">#REF!</definedName>
    <definedName name="TARG013">#REF!</definedName>
    <definedName name="TARG014" localSheetId="0">#REF!</definedName>
    <definedName name="TARG014">#REF!</definedName>
    <definedName name="TARG015" localSheetId="0">#REF!</definedName>
    <definedName name="TARG015">#REF!</definedName>
    <definedName name="TARG016" localSheetId="0">#REF!</definedName>
    <definedName name="TARG016">#REF!</definedName>
    <definedName name="TARG017" localSheetId="0">#REF!</definedName>
    <definedName name="TARG017">#REF!</definedName>
    <definedName name="TARG018" localSheetId="0">#REF!</definedName>
    <definedName name="TARG018">#REF!</definedName>
    <definedName name="TARG019" localSheetId="0">#REF!</definedName>
    <definedName name="TARG019">#REF!</definedName>
    <definedName name="TARG020" localSheetId="0">#REF!</definedName>
    <definedName name="TARG020">#REF!</definedName>
    <definedName name="TARG021" localSheetId="0">#REF!</definedName>
    <definedName name="TARG021">#REF!</definedName>
    <definedName name="TARG022" localSheetId="0">#REF!</definedName>
    <definedName name="TARG022">#REF!</definedName>
    <definedName name="TARG023" localSheetId="0">#REF!</definedName>
    <definedName name="TARG023">#REF!</definedName>
    <definedName name="TARG024" localSheetId="0">#REF!</definedName>
    <definedName name="TARG024">#REF!</definedName>
    <definedName name="TARG025" localSheetId="0">#REF!</definedName>
    <definedName name="TARG025">#REF!</definedName>
    <definedName name="TARG026" localSheetId="0">#REF!</definedName>
    <definedName name="TARG026">#REF!</definedName>
    <definedName name="TARG027" localSheetId="0">#REF!</definedName>
    <definedName name="TARG027">#REF!</definedName>
    <definedName name="TARG028" localSheetId="0">#REF!</definedName>
    <definedName name="TARG028">#REF!</definedName>
    <definedName name="TARG029" localSheetId="0">#REF!</definedName>
    <definedName name="TARG029">#REF!</definedName>
    <definedName name="TARG030" localSheetId="0">#REF!</definedName>
    <definedName name="TARG030">#REF!</definedName>
    <definedName name="TARG031" localSheetId="0">#REF!</definedName>
    <definedName name="TARG031">#REF!</definedName>
    <definedName name="TARG032" localSheetId="0">#REF!</definedName>
    <definedName name="TARG032">#REF!</definedName>
    <definedName name="TARG033" localSheetId="0">#REF!</definedName>
    <definedName name="TARG033">#REF!</definedName>
    <definedName name="TARG034" localSheetId="0">#REF!</definedName>
    <definedName name="TARG034">#REF!</definedName>
    <definedName name="TARG035" localSheetId="0">#REF!</definedName>
    <definedName name="TARG035">#REF!</definedName>
    <definedName name="TARG036" localSheetId="0">#REF!</definedName>
    <definedName name="TARG036">#REF!</definedName>
    <definedName name="TARG037" localSheetId="0">#REF!</definedName>
    <definedName name="TARG037">#REF!</definedName>
    <definedName name="TARG038" localSheetId="0">#REF!</definedName>
    <definedName name="TARG038">#REF!</definedName>
    <definedName name="TARG039" localSheetId="0">#REF!</definedName>
    <definedName name="TARG039">#REF!</definedName>
    <definedName name="TARG040" localSheetId="0">#REF!</definedName>
    <definedName name="TARG040">#REF!</definedName>
    <definedName name="TARG041" localSheetId="0">#REF!</definedName>
    <definedName name="TARG041">#REF!</definedName>
    <definedName name="TARG042" localSheetId="0">#REF!</definedName>
    <definedName name="TARG042">#REF!</definedName>
    <definedName name="TARG043" localSheetId="0">#REF!</definedName>
    <definedName name="TARG043">#REF!</definedName>
    <definedName name="TARG044" localSheetId="0">#REF!</definedName>
    <definedName name="TARG044">#REF!</definedName>
    <definedName name="TARG045" localSheetId="0">#REF!</definedName>
    <definedName name="TARG045">#REF!</definedName>
    <definedName name="TARG046" localSheetId="0">#REF!</definedName>
    <definedName name="TARG046">#REF!</definedName>
    <definedName name="TARG047" localSheetId="0">#REF!</definedName>
    <definedName name="TARG047">#REF!</definedName>
    <definedName name="TARG048" localSheetId="0">#REF!</definedName>
    <definedName name="TARG048">#REF!</definedName>
    <definedName name="TARG049" localSheetId="0">#REF!</definedName>
    <definedName name="TARG049">#REF!</definedName>
    <definedName name="TARG050" localSheetId="0">#REF!</definedName>
    <definedName name="TARG050">#REF!</definedName>
    <definedName name="TARG051" localSheetId="0">#REF!</definedName>
    <definedName name="TARG051">#REF!</definedName>
    <definedName name="TARG052" localSheetId="0">#REF!</definedName>
    <definedName name="TARG052">#REF!</definedName>
    <definedName name="TARG053" localSheetId="0">#REF!</definedName>
    <definedName name="TARG053">#REF!</definedName>
    <definedName name="TARG054" localSheetId="0">#REF!</definedName>
    <definedName name="TARG054">#REF!</definedName>
    <definedName name="TARG055">#REF!</definedName>
    <definedName name="TARG056">#REF!</definedName>
    <definedName name="TARG057">#REF!</definedName>
    <definedName name="TARG058">#REF!</definedName>
    <definedName name="TARG059">#REF!</definedName>
    <definedName name="TARG060">#REF!</definedName>
    <definedName name="TARG061">#REF!</definedName>
    <definedName name="TARG062">#REF!</definedName>
    <definedName name="TARG063">#REF!</definedName>
    <definedName name="TARG064">#REF!</definedName>
    <definedName name="TARG065">#REF!</definedName>
    <definedName name="TARG066">#REF!</definedName>
    <definedName name="TARG067">#REF!</definedName>
    <definedName name="TARG068">#REF!</definedName>
    <definedName name="TARG069">#REF!</definedName>
    <definedName name="TARG070">#REF!</definedName>
    <definedName name="TARG071">#REF!</definedName>
    <definedName name="TARG072">#REF!</definedName>
    <definedName name="TARG073">#REF!</definedName>
    <definedName name="TARG074">#REF!</definedName>
    <definedName name="TARG075">#REF!</definedName>
    <definedName name="TARG076">#REF!</definedName>
    <definedName name="TARG077">#REF!</definedName>
    <definedName name="TARG078">#REF!</definedName>
    <definedName name="TARG079">#REF!</definedName>
    <definedName name="TARG080">#REF!</definedName>
    <definedName name="TARG081">#REF!</definedName>
    <definedName name="TARG082">#REF!</definedName>
    <definedName name="TARG083">#REF!</definedName>
    <definedName name="TARG084">#REF!</definedName>
    <definedName name="TARG085">#REF!</definedName>
    <definedName name="TARG086">#REF!</definedName>
    <definedName name="TARG087">#REF!</definedName>
    <definedName name="TARG088">#REF!</definedName>
    <definedName name="TARG089">#REF!</definedName>
    <definedName name="TARG090">#REF!</definedName>
    <definedName name="TARG091">#REF!</definedName>
    <definedName name="TARG092">#REF!</definedName>
    <definedName name="TARG093">#REF!</definedName>
    <definedName name="TARG094">#REF!</definedName>
    <definedName name="TARG095">#REF!</definedName>
    <definedName name="TARG096">#REF!</definedName>
    <definedName name="TARG097">#REF!</definedName>
    <definedName name="TARG098">#REF!</definedName>
    <definedName name="TARG099">#REF!</definedName>
    <definedName name="TARG100">#REF!</definedName>
    <definedName name="TARG101">#REF!</definedName>
    <definedName name="TARG102">#REF!</definedName>
    <definedName name="TARG103">#REF!</definedName>
    <definedName name="TARG104">#REF!</definedName>
    <definedName name="TARG105">#REF!</definedName>
    <definedName name="TARG106">#REF!</definedName>
    <definedName name="TARG107">#REF!</definedName>
    <definedName name="TARG108">#REF!</definedName>
    <definedName name="TARG109">#REF!</definedName>
    <definedName name="TARG110">#REF!</definedName>
    <definedName name="TARG111">#REF!</definedName>
    <definedName name="TARG112">#REF!</definedName>
    <definedName name="TARG113">#REF!</definedName>
    <definedName name="TARG114">#REF!</definedName>
    <definedName name="TARG115">#REF!</definedName>
    <definedName name="TARG116">#REF!</definedName>
    <definedName name="TARG117">#REF!</definedName>
    <definedName name="TARG118">#REF!</definedName>
    <definedName name="TARG119">#REF!</definedName>
    <definedName name="TARG120">#REF!</definedName>
    <definedName name="TARG121">#REF!</definedName>
    <definedName name="TARG122">#REF!</definedName>
    <definedName name="TARG123">#REF!</definedName>
    <definedName name="TARG124">#REF!</definedName>
    <definedName name="TARG125">#REF!</definedName>
    <definedName name="TARG126">#REF!</definedName>
    <definedName name="TARG127">#REF!</definedName>
    <definedName name="TARG128">#REF!</definedName>
    <definedName name="TARG129">#REF!</definedName>
    <definedName name="TARG130">#REF!</definedName>
    <definedName name="TARG131">#REF!</definedName>
    <definedName name="TARG132">#REF!</definedName>
    <definedName name="TARG133">#REF!</definedName>
    <definedName name="TARG134">#REF!</definedName>
    <definedName name="TARG135">#REF!</definedName>
    <definedName name="TARG136">#REF!</definedName>
    <definedName name="TARG137">#REF!</definedName>
    <definedName name="TARG138">#REF!</definedName>
    <definedName name="TARG139">#REF!</definedName>
    <definedName name="TARG140">#REF!</definedName>
    <definedName name="TARG141">#REF!</definedName>
    <definedName name="TARG142">#REF!</definedName>
    <definedName name="TARG143">#REF!</definedName>
    <definedName name="TARG144">#REF!</definedName>
    <definedName name="TARG145">#REF!</definedName>
    <definedName name="TARG146">#REF!</definedName>
    <definedName name="TARG147">#REF!</definedName>
    <definedName name="TARG148">#REF!</definedName>
    <definedName name="TARG149">#REF!</definedName>
    <definedName name="TARG150">#REF!</definedName>
    <definedName name="TARG151">#REF!</definedName>
    <definedName name="TARG152">#REF!</definedName>
    <definedName name="TARG153">#REF!</definedName>
    <definedName name="TARG154">#REF!</definedName>
    <definedName name="TARG155">#REF!</definedName>
    <definedName name="TARG156">#REF!</definedName>
    <definedName name="TARG157">#REF!</definedName>
    <definedName name="TARG158">#REF!</definedName>
    <definedName name="TARG159">#REF!</definedName>
    <definedName name="TARG160">#REF!</definedName>
    <definedName name="TARG161">#REF!</definedName>
    <definedName name="TARG162">#REF!</definedName>
    <definedName name="TARG163">#REF!</definedName>
    <definedName name="TARG164">#REF!</definedName>
    <definedName name="TARG165">#REF!</definedName>
    <definedName name="TARG166">#REF!</definedName>
    <definedName name="TARG167">#REF!</definedName>
    <definedName name="TARG168">#REF!</definedName>
    <definedName name="TARG169">#REF!</definedName>
    <definedName name="TARG170">#REF!</definedName>
    <definedName name="TARG171">#REF!</definedName>
    <definedName name="TARG172">#REF!</definedName>
    <definedName name="TARG173">#REF!</definedName>
    <definedName name="TARG174">#REF!</definedName>
    <definedName name="TARG175">#REF!</definedName>
    <definedName name="TARG176">#REF!</definedName>
    <definedName name="TARG177">#REF!</definedName>
    <definedName name="TARG178">#REF!</definedName>
    <definedName name="TARG179">#REF!</definedName>
    <definedName name="TARG180">#REF!</definedName>
    <definedName name="TARG181">#REF!</definedName>
    <definedName name="TARG182">#REF!</definedName>
    <definedName name="TARG183">#REF!</definedName>
    <definedName name="TARG184">#REF!</definedName>
    <definedName name="TARG185">#REF!</definedName>
    <definedName name="TARG186">#REF!</definedName>
    <definedName name="TARG187">#REF!</definedName>
    <definedName name="TARG188">#REF!</definedName>
    <definedName name="TARG189">#REF!</definedName>
    <definedName name="TARG190">#REF!</definedName>
    <definedName name="TARG191">#REF!</definedName>
    <definedName name="TARG192">#REF!</definedName>
    <definedName name="vcop1" localSheetId="0">#REF!</definedName>
    <definedName name="vcop1">#REF!</definedName>
    <definedName name="vcop2" localSheetId="0">#REF!</definedName>
    <definedName name="vcop2">#REF!</definedName>
    <definedName name="vcop3" localSheetId="0">#REF!</definedName>
    <definedName name="vcop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0" l="1"/>
  <c r="E8" i="10"/>
  <c r="F8" i="10"/>
  <c r="G8" i="10"/>
  <c r="C8" i="10"/>
  <c r="D8" i="9"/>
  <c r="E8" i="9"/>
  <c r="F8" i="9"/>
  <c r="G8" i="9"/>
  <c r="C8" i="9"/>
  <c r="D8" i="8"/>
  <c r="E8" i="8"/>
  <c r="F8" i="8"/>
  <c r="G8" i="8"/>
  <c r="C8" i="8"/>
  <c r="D8" i="7"/>
  <c r="E8" i="7"/>
  <c r="F8" i="7"/>
  <c r="G8" i="7"/>
  <c r="C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9C5666-86CD-E248-B4BC-78A40A9E3728}" keepAlive="1" name="Query - Activity" description="Connection to the 'Activity' query in the workbook." type="5" refreshedVersion="8" background="1" saveData="1">
    <dbPr connection="Provider=Microsoft.Mashup.OleDb.1;Data Source=$Workbook$;Location=Activity;Extended Properties=&quot;&quot;" command="SELECT * FROM [Activity]"/>
  </connection>
  <connection id="2" xr16:uid="{87812498-A14F-D54C-B775-51619AEE9233}" keepAlive="1" name="Query - Employment" description="Connection to the 'Employment' query in the workbook." type="5" refreshedVersion="8" background="1" saveData="1">
    <dbPr connection="Provider=Microsoft.Mashup.OleDb.1;Data Source=$Workbook$;Location=Employment;Extended Properties=&quot;&quot;" command="SELECT * FROM [Employment]"/>
  </connection>
  <connection id="3" xr16:uid="{B6254540-09F8-2445-9109-330365A878FC}" keepAlive="1" name="Query - Inactivity" description="Connection to the 'Inactivity' query in the workbook." type="5" refreshedVersion="8" background="1" saveData="1">
    <dbPr connection="Provider=Microsoft.Mashup.OleDb.1;Data Source=$Workbook$;Location=Inactivity;Extended Properties=&quot;&quot;" command="SELECT * FROM [Inactivity]"/>
  </connection>
  <connection id="4" xr16:uid="{9E65AA7A-00C7-054A-A15D-8C10CAC54E05}"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5" xr16:uid="{26DE1DCA-02DF-B247-86DB-E6B235D34925}" keepAlive="1" name="Query - Unemployment" description="Connection to the 'Unemployment' query in the workbook." type="5" refreshedVersion="8" background="1" saveData="1">
    <dbPr connection="Provider=Microsoft.Mashup.OleDb.1;Data Source=$Workbook$;Location=Unemployment;Extended Properties=&quot;&quot;" command="SELECT * FROM [Unemployment]"/>
  </connection>
</connections>
</file>

<file path=xl/sharedStrings.xml><?xml version="1.0" encoding="utf-8"?>
<sst xmlns="http://schemas.openxmlformats.org/spreadsheetml/2006/main" count="178" uniqueCount="36">
  <si>
    <t>IMPORTANT NOTE:</t>
  </si>
  <si>
    <t xml:space="preserve">From 17 December 2024, we have reweighted Labour Force Survey (LFS) estimates.
The reweighted LFS estimates incorporate information on the size and composition of the UK population, based on 2022 mid-year estimates. For England, Wales and Northern Ireland they are projected forward using scaling factors from 2021-based National Population projections, published in January 2024. For Scotland they are projected forward using scaling factors from 2020-based National Population Projections, published in January 2023.
Given time constraints, we were only able to reweight LFS data from January to March 2019 onwards. Therefore, this reweighting exercise created a discontinuity between December 2018 to February 2019 and January to March 2019 where there is a step change in LFS estimates. However, we have modelled the seasonally adjusted UK levels of employment, unemployment and economic inactivity by sex and age-band back to June to August 2011, to ensure that headline rates and levels by sex and age-band (datasets A02SA and A05SA) can be assessed without a discontinuity.
Important note: Reweighting increased the levels of all labour market statuses but did not address issues surrounding increased LFS volatility, resulting from smaller achieved sample sizes. 
Estimates from January to March 2025 include the full effect of the improvements in LFS data collection and sampling methods introduced from January 2024. However, estimates may be subject to the effect of further ongoing improvements. An increased amount of volatility will remain in the LFS estimates from mid-2023 and throughout 2024, so we would advise additional caution when interpreting change involving those periods. 
We recommend using LFS estimates as part of our suite of labour market indicators, alongside Workforce Jobs, Claimant Count and Pay As You Earn Real Time Information (PAYE RTI) estimates. </t>
  </si>
  <si>
    <t>These are official statistics in development.
For further information, please see our Impact of reweighting on Labour Force Survey key indicators article:</t>
  </si>
  <si>
    <t>https://www.ons.gov.uk/releases/impactofreweightingonlabourforcesurveykeyindicatorsdecember2024</t>
  </si>
  <si>
    <t>Reference:</t>
  </si>
  <si>
    <t>https://www.ons.gov.uk/employmentandlabourmarket/peopleinwork/employmentandemployeetypes/datasets/employmentunemploymentandeconomicinactivitybyagegroupnotseasonallyadjusteda05nsa/current?</t>
  </si>
  <si>
    <t>Aged 16-17</t>
  </si>
  <si>
    <t>Aged 18-24</t>
  </si>
  <si>
    <t>Aged 25-34</t>
  </si>
  <si>
    <t>Aged 35-49</t>
  </si>
  <si>
    <t>Aged 50-64</t>
  </si>
  <si>
    <t>Age 65+</t>
  </si>
  <si>
    <t>Employment</t>
  </si>
  <si>
    <t>Unemployment</t>
  </si>
  <si>
    <t>Activity</t>
  </si>
  <si>
    <t>Inactivity</t>
  </si>
  <si>
    <t>level</t>
  </si>
  <si>
    <t>rate (%)</t>
  </si>
  <si>
    <t>Column1</t>
  </si>
  <si>
    <t>Column2</t>
  </si>
  <si>
    <t>Column3</t>
  </si>
  <si>
    <t>Column6</t>
  </si>
  <si>
    <t>Column7</t>
  </si>
  <si>
    <t>Column8</t>
  </si>
  <si>
    <t>Column9</t>
  </si>
  <si>
    <t>Column10</t>
  </si>
  <si>
    <t>2018-19</t>
  </si>
  <si>
    <t>2019-20</t>
  </si>
  <si>
    <t>2020-21</t>
  </si>
  <si>
    <t>2021-22</t>
  </si>
  <si>
    <t>2022-23</t>
  </si>
  <si>
    <t>Total</t>
  </si>
  <si>
    <t xml:space="preserve">Total </t>
  </si>
  <si>
    <t>level = Number of people</t>
  </si>
  <si>
    <t>Age</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</si>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</sst>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12" x14ac:knownFonts="1">
    <font>
      <sz val="10"/>
      <color rgb="FF000000"/>
      <name val="Arial"/>
      <scheme val="minor"/>
    </font>
    <font>
      <b/>
      <sz val="26"/>
      <color theme="1"/>
      <name val="Arial"/>
      <family val="2"/>
    </font>
    <font>
      <sz val="10"/>
      <color theme="1"/>
      <name val="Arial"/>
      <family val="2"/>
    </font>
    <font>
      <b/>
      <sz val="10"/>
      <color theme="1"/>
      <name val="Arial"/>
      <family val="2"/>
    </font>
    <font>
      <sz val="11"/>
      <color theme="1"/>
      <name val="Arial"/>
      <family val="2"/>
    </font>
    <font>
      <sz val="12"/>
      <color theme="1"/>
      <name val="Arial"/>
      <family val="2"/>
    </font>
    <font>
      <b/>
      <u/>
      <sz val="10"/>
      <color rgb="FF0000FF"/>
      <name val="Arial"/>
      <family val="2"/>
    </font>
    <font>
      <u/>
      <sz val="10"/>
      <color rgb="FF0000FF"/>
      <name val="Arial"/>
      <family val="2"/>
    </font>
    <font>
      <sz val="8"/>
      <name val="Arial"/>
      <family val="2"/>
      <scheme val="minor"/>
    </font>
    <font>
      <b/>
      <sz val="10"/>
      <color rgb="FF000000"/>
      <name val="Arial"/>
      <family val="2"/>
      <scheme val="minor"/>
    </font>
    <font>
      <sz val="10"/>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theme="0"/>
        <bgColor theme="0"/>
      </patternFill>
    </fill>
  </fills>
  <borders count="2">
    <border>
      <left/>
      <right/>
      <top/>
      <bottom/>
      <diagonal/>
    </border>
    <border>
      <left/>
      <right/>
      <top/>
      <bottom/>
      <diagonal/>
    </border>
  </borders>
  <cellStyleXfs count="2">
    <xf numFmtId="0" fontId="0" fillId="0" borderId="0"/>
    <xf numFmtId="41" fontId="10" fillId="0" borderId="0" applyFont="0" applyFill="0" applyBorder="0" applyAlignment="0" applyProtection="0"/>
  </cellStyleXfs>
  <cellXfs count="17">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applyAlignment="1">
      <alignment vertical="center" wrapText="1"/>
    </xf>
    <xf numFmtId="0" fontId="4" fillId="2" borderId="1" xfId="0" applyFont="1" applyFill="1" applyBorder="1" applyAlignment="1">
      <alignment wrapText="1"/>
    </xf>
    <xf numFmtId="0" fontId="4" fillId="2" borderId="1" xfId="0" applyFont="1" applyFill="1" applyBorder="1"/>
    <xf numFmtId="0" fontId="5" fillId="2" borderId="1" xfId="0" applyFont="1" applyFill="1" applyBorder="1"/>
    <xf numFmtId="0" fontId="6" fillId="2" borderId="1" xfId="0" applyFont="1" applyFill="1" applyBorder="1" applyAlignment="1">
      <alignment vertical="center"/>
    </xf>
    <xf numFmtId="0" fontId="3" fillId="2" borderId="1" xfId="0" applyFont="1" applyFill="1" applyBorder="1"/>
    <xf numFmtId="0" fontId="7" fillId="2" borderId="1" xfId="0" applyFont="1" applyFill="1" applyBorder="1"/>
    <xf numFmtId="0" fontId="9" fillId="0" borderId="0" xfId="0" applyFont="1"/>
    <xf numFmtId="0" fontId="11" fillId="0" borderId="0" xfId="0" applyFont="1"/>
    <xf numFmtId="41" fontId="0" fillId="0" borderId="0" xfId="1" applyFont="1"/>
    <xf numFmtId="41" fontId="9" fillId="0" borderId="0" xfId="1" applyFont="1"/>
    <xf numFmtId="41" fontId="11" fillId="0" borderId="0" xfId="1" applyFont="1"/>
    <xf numFmtId="0" fontId="10" fillId="0" borderId="0" xfId="0" applyFont="1" applyAlignment="1">
      <alignment horizontal="center"/>
    </xf>
    <xf numFmtId="0" fontId="10" fillId="0" borderId="0" xfId="0" applyFont="1"/>
  </cellXfs>
  <cellStyles count="2">
    <cellStyle name="Comma [0]" xfId="1" builtinId="6"/>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1A7AE594-C201-9046-8EC0-5DC86A335395}" autoFormatId="16" applyNumberFormats="0" applyBorderFormats="0" applyFontFormats="0" applyPatternFormats="0" applyAlignmentFormats="0" applyWidthHeightFormats="0">
  <queryTableRefresh nextId="9">
    <queryTableFields count="7">
      <queryTableField id="1" name="Column1" tableColumnId="1"/>
      <queryTableField id="2" name="Column2" tableColumnId="2"/>
      <queryTableField id="4" name="Column4" tableColumnId="4"/>
      <queryTableField id="5" name="Column5" tableColumnId="5"/>
      <queryTableField id="6" name="Column6" tableColumnId="6"/>
      <queryTableField id="7" name="Column7" tableColumnId="7"/>
      <queryTableField id="8" name="Column8" tableColumnId="8"/>
    </queryTableFields>
    <queryTableDeletedFields count="1">
      <deletedField name="Column3"/>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5" xr16:uid="{1598000D-6DEF-E547-885F-FB97EA9F72DB}" autoFormatId="16" applyNumberFormats="0" applyBorderFormats="0" applyFontFormats="0" applyPatternFormats="0" applyAlignmentFormats="0" applyWidthHeightFormats="0">
  <queryTableRefresh nextId="9">
    <queryTableFields count="7">
      <queryTableField id="1" name="Column1" tableColumnId="1"/>
      <queryTableField id="2" name="Column2" tableColumnId="2"/>
      <queryTableField id="4" name="Column4" tableColumnId="4"/>
      <queryTableField id="5" name="Column5" tableColumnId="5"/>
      <queryTableField id="6" name="Column6" tableColumnId="6"/>
      <queryTableField id="7" name="Column7" tableColumnId="7"/>
      <queryTableField id="8" name="Column8" tableColumnId="8"/>
    </queryTableFields>
    <queryTableDeletedFields count="1">
      <deletedField name="Column3"/>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1" xr16:uid="{4555014B-4D57-3747-9240-9738EAD9D0B8}" autoFormatId="16" applyNumberFormats="0" applyBorderFormats="0" applyFontFormats="0" applyPatternFormats="0" applyAlignmentFormats="0" applyWidthHeightFormats="0">
  <queryTableRefresh nextId="9">
    <queryTableFields count="7">
      <queryTableField id="1" name="Column1" tableColumnId="1"/>
      <queryTableField id="2" name="Column2" tableColumnId="2"/>
      <queryTableField id="4" name="Column4" tableColumnId="4"/>
      <queryTableField id="5" name="Column5" tableColumnId="5"/>
      <queryTableField id="6" name="Column6" tableColumnId="6"/>
      <queryTableField id="7" name="Column7" tableColumnId="7"/>
      <queryTableField id="8" name="Column8" tableColumnId="8"/>
    </queryTableFields>
    <queryTableDeletedFields count="1">
      <deletedField name="Column3"/>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3" xr16:uid="{E427A3A9-AF04-4E42-8DE3-8CE6E99865D4}" autoFormatId="16" applyNumberFormats="0" applyBorderFormats="0" applyFontFormats="0" applyPatternFormats="0" applyAlignmentFormats="0" applyWidthHeightFormats="0">
  <queryTableRefresh nextId="9">
    <queryTableFields count="7">
      <queryTableField id="1" name="Column1" tableColumnId="1"/>
      <queryTableField id="2" name="Column2" tableColumnId="2"/>
      <queryTableField id="4" name="Column4" tableColumnId="4"/>
      <queryTableField id="5" name="Column5" tableColumnId="5"/>
      <queryTableField id="6" name="Column6" tableColumnId="6"/>
      <queryTableField id="7" name="Column7" tableColumnId="7"/>
      <queryTableField id="8" name="Column8" tableColumnId="8"/>
    </queryTableFields>
    <queryTableDeletedFields count="1">
      <deletedField name="Column3"/>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364484-C714-974D-B2DF-6ACAC8B20492}" name="People" displayName="People" ref="A1:H50">
  <autoFilter ref="A1:H50" xr:uid="{4A364484-C714-974D-B2DF-6ACAC8B20492}"/>
  <tableColumns count="8">
    <tableColumn id="1" xr3:uid="{7B6A8158-0B8F-DC42-8649-844260A0410A}" name="Column1" totalsRowLabel="Total" dataDxfId="2"/>
    <tableColumn id="2" xr3:uid="{6816491D-B77B-B94E-9AC9-132E74567FE1}" name="Column2" dataDxfId="1"/>
    <tableColumn id="3" xr3:uid="{8577DC78-4174-024D-A9C1-4EA6A0969318}" name="Column3" dataDxfId="0"/>
    <tableColumn id="4" xr3:uid="{B73F3EAC-0B0C-EF41-A87D-05A66C08F577}" name="Column6"/>
    <tableColumn id="5" xr3:uid="{2ED3F0FC-09DB-244C-8F12-83E4963DF31A}" name="Column7"/>
    <tableColumn id="6" xr3:uid="{C42089C1-BEB9-6348-A365-2E0237D8048E}" name="Column8"/>
    <tableColumn id="7" xr3:uid="{8DFFAD80-4ED6-B448-980D-1165EDF4E880}" name="Column9"/>
    <tableColumn id="8" xr3:uid="{CAE2285D-0CCB-C246-8278-5BB53EADEC0F}" name="Column10" totalsRowFunction="cou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B05618-2B30-CD49-BA3B-3DF5551DE4B1}" name="Employment" displayName="Employment" ref="A1:G8" tableType="queryTable" totalsRowShown="0" headerRowDxfId="17" dataDxfId="16">
  <autoFilter ref="A1:G8" xr:uid="{1FB05618-2B30-CD49-BA3B-3DF5551DE4B1}"/>
  <tableColumns count="7">
    <tableColumn id="1" xr3:uid="{A919398F-5188-354D-8331-0A65969F8C72}" uniqueName="1" name="Age" queryTableFieldId="1" dataDxfId="15"/>
    <tableColumn id="2" xr3:uid="{391BAC24-9EFD-5E46-AC79-BF9F57F6A51B}" uniqueName="2" name="Type" queryTableFieldId="2" dataDxfId="14"/>
    <tableColumn id="4" xr3:uid="{584B2634-3124-3641-9C36-7CEF12B08468}" uniqueName="4" name="2018-19" queryTableFieldId="4" dataDxfId="13" dataCellStyle="Comma [0]"/>
    <tableColumn id="5" xr3:uid="{07363975-6D94-5541-8BAE-F8DBB3BC5D68}" uniqueName="5" name="2019-20" queryTableFieldId="5" dataDxfId="12" dataCellStyle="Comma [0]"/>
    <tableColumn id="6" xr3:uid="{CA49F3B2-4431-DB41-A61D-47896DEE9F17}" uniqueName="6" name="2020-21" queryTableFieldId="6" dataDxfId="11" dataCellStyle="Comma [0]"/>
    <tableColumn id="7" xr3:uid="{6FA0C4C0-F1EB-7241-9612-0DE3704A268C}" uniqueName="7" name="2021-22" queryTableFieldId="7" dataDxfId="10" dataCellStyle="Comma [0]"/>
    <tableColumn id="8" xr3:uid="{702A132A-969D-A945-A4EC-29E3923FF414}" uniqueName="8" name="2022-23" queryTableFieldId="8" dataDxfId="9" dataCellStyle="Comma [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2D5988-F3C7-5049-9271-64466BEF7DEF}" name="Unemployment" displayName="Unemployment" ref="A1:G8" tableType="queryTable" totalsRowShown="0">
  <autoFilter ref="A1:G8" xr:uid="{992D5988-F3C7-5049-9271-64466BEF7DEF}"/>
  <tableColumns count="7">
    <tableColumn id="1" xr3:uid="{81B0045A-884F-1148-8E46-D0C8771971B5}" uniqueName="1" name="Age" queryTableFieldId="1" dataDxfId="8"/>
    <tableColumn id="2" xr3:uid="{A873A733-E55D-2F43-A5D7-CAD0B99698D8}" uniqueName="2" name="Type" queryTableFieldId="2" dataDxfId="7"/>
    <tableColumn id="4" xr3:uid="{3C572193-05E7-7444-ADE7-C0BF1D2D2D08}" uniqueName="4" name="2018-19" queryTableFieldId="4" dataCellStyle="Comma [0]"/>
    <tableColumn id="5" xr3:uid="{4D675FD0-FF37-7F41-8191-1952A104C1A8}" uniqueName="5" name="2019-20" queryTableFieldId="5" dataCellStyle="Comma [0]"/>
    <tableColumn id="6" xr3:uid="{8B1F3D7F-80DA-3A49-830C-CF2735B3F93B}" uniqueName="6" name="2020-21" queryTableFieldId="6" dataCellStyle="Comma [0]"/>
    <tableColumn id="7" xr3:uid="{76BA080D-5CF3-294C-8AB2-FB845B7A2558}" uniqueName="7" name="2021-22" queryTableFieldId="7" dataCellStyle="Comma [0]"/>
    <tableColumn id="8" xr3:uid="{650F98A4-C1DE-104A-87B1-9983081BB509}" uniqueName="8" name="2022-23" queryTableFieldId="8" dataCellStyle="Comma [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F5D2AF-1D3C-E047-B7D3-0DB505991DF6}" name="Activity" displayName="Activity" ref="A1:G8" tableType="queryTable" totalsRowShown="0">
  <autoFilter ref="A1:G8" xr:uid="{45F5D2AF-1D3C-E047-B7D3-0DB505991DF6}"/>
  <tableColumns count="7">
    <tableColumn id="1" xr3:uid="{C39EE294-860D-3646-9279-8B4412D53FFC}" uniqueName="1" name="Age" queryTableFieldId="1" dataDxfId="6"/>
    <tableColumn id="2" xr3:uid="{22C230D7-E3AA-A04C-BE2D-A335BC4EE0A7}" uniqueName="2" name="Type" queryTableFieldId="2" dataDxfId="5"/>
    <tableColumn id="4" xr3:uid="{553AD31C-AE58-254E-BB4A-4CF45F471166}" uniqueName="4" name="2018-19" queryTableFieldId="4" dataCellStyle="Comma [0]"/>
    <tableColumn id="5" xr3:uid="{20D6B041-7D05-A84C-8184-7DDAA6A961C0}" uniqueName="5" name="2019-20" queryTableFieldId="5" dataCellStyle="Comma [0]"/>
    <tableColumn id="6" xr3:uid="{DDD85BFE-26C2-9C4A-8170-72E0DDBF1F35}" uniqueName="6" name="2020-21" queryTableFieldId="6" dataCellStyle="Comma [0]"/>
    <tableColumn id="7" xr3:uid="{66AF2F7F-FAA1-6B4D-84B5-CA954088571D}" uniqueName="7" name="2021-22" queryTableFieldId="7" dataCellStyle="Comma [0]"/>
    <tableColumn id="8" xr3:uid="{5339501A-8372-BE40-A947-687554D75BA9}" uniqueName="8" name="2022-23" queryTableFieldId="8" dataCellStyle="Comma [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212FE3-B7CC-E645-998A-AAEB82203BE3}" name="Inactivity" displayName="Inactivity" ref="A1:G8" tableType="queryTable" totalsRowShown="0">
  <autoFilter ref="A1:G8" xr:uid="{2E212FE3-B7CC-E645-998A-AAEB82203BE3}"/>
  <tableColumns count="7">
    <tableColumn id="1" xr3:uid="{ADEE08CE-C2EA-9243-BBC7-57E9E966FBDC}" uniqueName="1" name="Age" queryTableFieldId="1" dataDxfId="4"/>
    <tableColumn id="2" xr3:uid="{85666443-123B-5148-B5CF-86443F842B85}" uniqueName="2" name="Type" queryTableFieldId="2" dataDxfId="3"/>
    <tableColumn id="4" xr3:uid="{42694E3B-C62B-314A-B5D5-7B8D4A6761D5}" uniqueName="4" name="2018-19" queryTableFieldId="4" dataCellStyle="Comma [0]"/>
    <tableColumn id="5" xr3:uid="{0DEE2BEA-C2C3-8B4D-B036-0E0ABCC7E98B}" uniqueName="5" name="2019-20" queryTableFieldId="5" dataCellStyle="Comma [0]"/>
    <tableColumn id="6" xr3:uid="{61EEE78E-8E3B-E34B-9F7C-2698FBDA5ECE}" uniqueName="6" name="2020-21" queryTableFieldId="6" dataCellStyle="Comma [0]"/>
    <tableColumn id="7" xr3:uid="{E4D4E189-7084-A946-9EA6-7C5A2BAF8624}" uniqueName="7" name="2021-22" queryTableFieldId="7" dataCellStyle="Comma [0]"/>
    <tableColumn id="8" xr3:uid="{DB4F0DD4-E414-0F49-BAC4-7B51A981028E}" uniqueName="8" name="2022-23" queryTableFieldId="8" dataCellStyle="Comma [0]"/>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ons.gov.uk/employmentandlabourmarket/peopleinwork/employmentandemployeetypes/datasets/employmentunemploymentandeconomicinactivitybyagegroupnotseasonallyadjusteda05nsa/current?" TargetMode="External"/><Relationship Id="rId1" Type="http://schemas.openxmlformats.org/officeDocument/2006/relationships/hyperlink" Target="https://www.ons.gov.uk/releases/impactofreweightingonlabourforcesurveykeyindicatorsdecember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173" zoomScaleNormal="100" workbookViewId="0"/>
  </sheetViews>
  <sheetFormatPr baseColWidth="10" defaultColWidth="12.6640625" defaultRowHeight="15" customHeight="1" x14ac:dyDescent="0.15"/>
  <cols>
    <col min="1" max="1" width="101.1640625" customWidth="1"/>
    <col min="2" max="13" width="8.6640625" customWidth="1"/>
    <col min="14" max="26" width="10" customWidth="1"/>
  </cols>
  <sheetData>
    <row r="1" spans="1:26" ht="35.25" customHeight="1"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ht="8.25" customHeight="1" x14ac:dyDescent="0.15">
      <c r="A2" s="2"/>
      <c r="B2" s="2"/>
      <c r="C2" s="2"/>
      <c r="D2" s="2"/>
      <c r="E2" s="2"/>
      <c r="F2" s="2"/>
      <c r="G2" s="2"/>
      <c r="H2" s="2"/>
      <c r="I2" s="2"/>
      <c r="J2" s="2"/>
      <c r="K2" s="2"/>
      <c r="L2" s="2"/>
      <c r="M2" s="2"/>
      <c r="N2" s="2"/>
      <c r="O2" s="2"/>
      <c r="P2" s="2"/>
      <c r="Q2" s="2"/>
      <c r="R2" s="2"/>
      <c r="S2" s="2"/>
      <c r="T2" s="2"/>
      <c r="U2" s="2"/>
      <c r="V2" s="2"/>
      <c r="W2" s="2"/>
      <c r="X2" s="2"/>
      <c r="Y2" s="2"/>
      <c r="Z2" s="2"/>
    </row>
    <row r="3" spans="1:26" ht="327" customHeight="1" x14ac:dyDescent="0.15">
      <c r="A3" s="3" t="s">
        <v>1</v>
      </c>
      <c r="B3" s="4"/>
      <c r="C3" s="4"/>
      <c r="D3" s="4"/>
      <c r="E3" s="4"/>
      <c r="F3" s="4"/>
      <c r="G3" s="4"/>
      <c r="H3" s="4"/>
      <c r="I3" s="4"/>
      <c r="J3" s="4"/>
      <c r="K3" s="5"/>
      <c r="L3" s="5"/>
      <c r="M3" s="5"/>
      <c r="N3" s="5"/>
      <c r="O3" s="5"/>
      <c r="P3" s="5"/>
      <c r="Q3" s="5"/>
      <c r="R3" s="5"/>
      <c r="S3" s="5"/>
      <c r="T3" s="5"/>
      <c r="U3" s="5"/>
      <c r="V3" s="5"/>
      <c r="W3" s="5"/>
      <c r="X3" s="5"/>
      <c r="Y3" s="5"/>
      <c r="Z3" s="5"/>
    </row>
    <row r="4" spans="1:26" ht="40.5" customHeight="1" x14ac:dyDescent="0.2">
      <c r="A4" s="3" t="s">
        <v>2</v>
      </c>
      <c r="B4" s="6"/>
      <c r="C4" s="6"/>
      <c r="D4" s="6"/>
      <c r="E4" s="6"/>
      <c r="F4" s="6"/>
      <c r="G4" s="6"/>
      <c r="H4" s="6"/>
      <c r="I4" s="6"/>
      <c r="J4" s="6"/>
      <c r="K4" s="6"/>
      <c r="L4" s="6"/>
      <c r="M4" s="6"/>
      <c r="N4" s="2"/>
      <c r="O4" s="2"/>
      <c r="P4" s="2"/>
      <c r="Q4" s="2"/>
      <c r="R4" s="2"/>
      <c r="S4" s="2"/>
      <c r="T4" s="2"/>
      <c r="U4" s="2"/>
      <c r="V4" s="2"/>
      <c r="W4" s="2"/>
      <c r="X4" s="2"/>
      <c r="Y4" s="2"/>
      <c r="Z4" s="2"/>
    </row>
    <row r="5" spans="1:26" ht="12.75" customHeight="1" x14ac:dyDescent="0.15">
      <c r="A5" s="7" t="s">
        <v>3</v>
      </c>
      <c r="B5" s="2"/>
      <c r="C5" s="2"/>
      <c r="D5" s="2"/>
      <c r="E5" s="2"/>
      <c r="F5" s="2"/>
      <c r="G5" s="2"/>
      <c r="H5" s="2"/>
      <c r="I5" s="2"/>
      <c r="J5" s="2"/>
      <c r="K5" s="2"/>
      <c r="L5" s="2"/>
      <c r="M5" s="2"/>
      <c r="N5" s="2"/>
      <c r="O5" s="2"/>
      <c r="P5" s="2"/>
      <c r="Q5" s="2"/>
      <c r="R5" s="2"/>
      <c r="S5" s="2"/>
      <c r="T5" s="2"/>
      <c r="U5" s="2"/>
      <c r="V5" s="2"/>
      <c r="W5" s="2"/>
      <c r="X5" s="2"/>
      <c r="Y5" s="2"/>
      <c r="Z5" s="2"/>
    </row>
    <row r="6" spans="1:26" ht="12.75" customHeight="1" x14ac:dyDescent="0.15">
      <c r="A6" s="2"/>
      <c r="B6" s="2"/>
      <c r="C6" s="2"/>
      <c r="D6" s="2"/>
      <c r="E6" s="2"/>
      <c r="F6" s="2"/>
      <c r="G6" s="2"/>
      <c r="H6" s="2"/>
      <c r="I6" s="2"/>
      <c r="J6" s="2"/>
      <c r="K6" s="2"/>
      <c r="L6" s="2"/>
      <c r="M6" s="2"/>
      <c r="N6" s="2"/>
      <c r="O6" s="2"/>
      <c r="P6" s="2"/>
      <c r="Q6" s="2"/>
      <c r="R6" s="2"/>
      <c r="S6" s="2"/>
      <c r="T6" s="2"/>
      <c r="U6" s="2"/>
      <c r="V6" s="2"/>
      <c r="W6" s="2"/>
      <c r="X6" s="2"/>
      <c r="Y6" s="2"/>
      <c r="Z6" s="2"/>
    </row>
    <row r="7" spans="1:26" ht="12.75" customHeight="1" x14ac:dyDescent="0.15">
      <c r="A7" s="8" t="s">
        <v>4</v>
      </c>
      <c r="B7" s="2"/>
      <c r="C7" s="2"/>
      <c r="D7" s="2"/>
      <c r="E7" s="2"/>
      <c r="F7" s="2"/>
      <c r="G7" s="2"/>
      <c r="H7" s="2"/>
      <c r="I7" s="2"/>
      <c r="J7" s="2"/>
      <c r="K7" s="2"/>
      <c r="L7" s="2"/>
      <c r="M7" s="2"/>
      <c r="N7" s="2"/>
      <c r="O7" s="2"/>
      <c r="P7" s="2"/>
      <c r="Q7" s="2"/>
      <c r="R7" s="2"/>
      <c r="S7" s="2"/>
      <c r="T7" s="2"/>
      <c r="U7" s="2"/>
      <c r="V7" s="2"/>
      <c r="W7" s="2"/>
      <c r="X7" s="2"/>
      <c r="Y7" s="2"/>
      <c r="Z7" s="2"/>
    </row>
    <row r="8" spans="1:26" ht="12.75" customHeight="1" x14ac:dyDescent="0.15">
      <c r="A8" s="9" t="s">
        <v>5</v>
      </c>
      <c r="B8" s="2"/>
      <c r="C8" s="2"/>
      <c r="D8" s="2"/>
      <c r="E8" s="2"/>
      <c r="F8" s="2"/>
      <c r="G8" s="2"/>
      <c r="H8" s="2"/>
      <c r="I8" s="2"/>
      <c r="J8" s="2"/>
      <c r="K8" s="2"/>
      <c r="L8" s="2"/>
      <c r="M8" s="2"/>
      <c r="N8" s="2"/>
      <c r="O8" s="2"/>
      <c r="P8" s="2"/>
      <c r="Q8" s="2"/>
      <c r="R8" s="2"/>
      <c r="S8" s="2"/>
      <c r="T8" s="2"/>
      <c r="U8" s="2"/>
      <c r="V8" s="2"/>
      <c r="W8" s="2"/>
      <c r="X8" s="2"/>
      <c r="Y8" s="2"/>
      <c r="Z8" s="2"/>
    </row>
    <row r="9" spans="1:26" ht="12.75" customHeight="1" x14ac:dyDescent="0.15">
      <c r="A9" s="2"/>
      <c r="B9" s="2"/>
      <c r="C9" s="2"/>
      <c r="D9" s="2"/>
      <c r="E9" s="2"/>
      <c r="F9" s="2"/>
      <c r="G9" s="2"/>
      <c r="H9" s="2"/>
      <c r="I9" s="2"/>
      <c r="J9" s="2"/>
      <c r="K9" s="2"/>
      <c r="L9" s="2"/>
      <c r="M9" s="2"/>
      <c r="N9" s="2"/>
      <c r="O9" s="2"/>
      <c r="P9" s="2"/>
      <c r="Q9" s="2"/>
      <c r="R9" s="2"/>
      <c r="S9" s="2"/>
      <c r="T9" s="2"/>
      <c r="U9" s="2"/>
      <c r="V9" s="2"/>
      <c r="W9" s="2"/>
      <c r="X9" s="2"/>
      <c r="Y9" s="2"/>
      <c r="Z9" s="2"/>
    </row>
    <row r="10" spans="1:26" ht="12.75" customHeight="1" x14ac:dyDescent="0.1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x14ac:dyDescent="0.1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ustomHeight="1" x14ac:dyDescent="0.1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x14ac:dyDescent="0.1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5" r:id="rId1" xr:uid="{00000000-0004-0000-0000-000000000000}"/>
    <hyperlink ref="A8" r:id="rId2" xr:uid="{00000000-0004-0000-0000-00000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C05EA-EDE5-8E4A-B5B6-335687B8CFD8}">
  <dimension ref="A1:H53"/>
  <sheetViews>
    <sheetView tabSelected="1" topLeftCell="A6" zoomScale="150" workbookViewId="0">
      <selection activeCell="H19" sqref="H19"/>
    </sheetView>
  </sheetViews>
  <sheetFormatPr baseColWidth="10" defaultRowHeight="13" x14ac:dyDescent="0.15"/>
  <cols>
    <col min="1" max="1" width="10.1640625" customWidth="1"/>
    <col min="2" max="2" width="12.6640625" bestFit="1" customWidth="1"/>
    <col min="4" max="8" width="12.1640625" bestFit="1" customWidth="1"/>
  </cols>
  <sheetData>
    <row r="1" spans="1:8" x14ac:dyDescent="0.15">
      <c r="A1" t="s">
        <v>18</v>
      </c>
      <c r="B1" t="s">
        <v>19</v>
      </c>
      <c r="C1" t="s">
        <v>20</v>
      </c>
      <c r="D1" t="s">
        <v>21</v>
      </c>
      <c r="E1" t="s">
        <v>22</v>
      </c>
      <c r="F1" t="s">
        <v>23</v>
      </c>
      <c r="G1" t="s">
        <v>24</v>
      </c>
      <c r="H1" t="s">
        <v>25</v>
      </c>
    </row>
    <row r="2" spans="1:8" x14ac:dyDescent="0.15">
      <c r="A2" s="10"/>
      <c r="B2" s="10"/>
      <c r="C2" s="10"/>
      <c r="D2" s="10" t="s">
        <v>26</v>
      </c>
      <c r="E2" s="10" t="s">
        <v>27</v>
      </c>
      <c r="F2" s="10" t="s">
        <v>28</v>
      </c>
      <c r="G2" s="10" t="s">
        <v>29</v>
      </c>
      <c r="H2" s="10" t="s">
        <v>30</v>
      </c>
    </row>
    <row r="3" spans="1:8" x14ac:dyDescent="0.15">
      <c r="A3" s="10" t="s">
        <v>6</v>
      </c>
      <c r="B3" s="10" t="s">
        <v>12</v>
      </c>
      <c r="C3" s="10" t="s">
        <v>16</v>
      </c>
      <c r="D3">
        <v>344875</v>
      </c>
      <c r="E3">
        <v>321151</v>
      </c>
      <c r="F3">
        <v>200731</v>
      </c>
      <c r="G3">
        <v>344896</v>
      </c>
      <c r="H3">
        <v>451497</v>
      </c>
    </row>
    <row r="4" spans="1:8" x14ac:dyDescent="0.15">
      <c r="A4" s="10"/>
      <c r="B4" s="10"/>
      <c r="C4" s="10" t="s">
        <v>17</v>
      </c>
      <c r="D4">
        <v>24.326545295515945</v>
      </c>
      <c r="E4">
        <v>22.112796600774892</v>
      </c>
      <c r="F4">
        <v>13.51354444508774</v>
      </c>
      <c r="G4">
        <v>22.879538397140056</v>
      </c>
      <c r="H4">
        <v>29.422781790989337</v>
      </c>
    </row>
    <row r="5" spans="1:8" x14ac:dyDescent="0.15">
      <c r="A5" s="10"/>
      <c r="B5" s="10" t="s">
        <v>13</v>
      </c>
      <c r="C5" s="10" t="s">
        <v>16</v>
      </c>
      <c r="D5">
        <v>69118</v>
      </c>
      <c r="E5">
        <v>105004</v>
      </c>
      <c r="F5">
        <v>85614</v>
      </c>
      <c r="G5">
        <v>91738</v>
      </c>
      <c r="H5">
        <v>67407</v>
      </c>
    </row>
    <row r="6" spans="1:8" x14ac:dyDescent="0.15">
      <c r="A6" s="10"/>
      <c r="B6" s="10"/>
      <c r="C6" s="10" t="s">
        <v>17</v>
      </c>
      <c r="D6">
        <v>16.6954513723662</v>
      </c>
      <c r="E6">
        <v>24.639861083408615</v>
      </c>
      <c r="F6">
        <v>29.898898182262656</v>
      </c>
      <c r="G6">
        <v>21.010274051035879</v>
      </c>
      <c r="H6">
        <v>12.990264095092732</v>
      </c>
    </row>
    <row r="7" spans="1:8" x14ac:dyDescent="0.15">
      <c r="A7" s="10"/>
      <c r="B7" s="10" t="s">
        <v>14</v>
      </c>
      <c r="C7" s="10" t="s">
        <v>16</v>
      </c>
      <c r="D7">
        <v>413993</v>
      </c>
      <c r="E7">
        <v>426155</v>
      </c>
      <c r="F7">
        <v>286345</v>
      </c>
      <c r="G7">
        <v>436634</v>
      </c>
      <c r="H7">
        <v>518904</v>
      </c>
    </row>
    <row r="8" spans="1:8" x14ac:dyDescent="0.15">
      <c r="A8" s="10"/>
      <c r="B8" s="10"/>
      <c r="C8" s="10" t="s">
        <v>17</v>
      </c>
      <c r="D8">
        <v>29.201941186013869</v>
      </c>
      <c r="E8">
        <v>29.342828873032389</v>
      </c>
      <c r="F8">
        <v>19.277221177240431</v>
      </c>
      <c r="G8">
        <v>28.96520797137935</v>
      </c>
      <c r="H8">
        <v>33.815505224777858</v>
      </c>
    </row>
    <row r="9" spans="1:8" x14ac:dyDescent="0.15">
      <c r="A9" s="10"/>
      <c r="B9" s="10" t="s">
        <v>15</v>
      </c>
      <c r="C9" s="10" t="s">
        <v>16</v>
      </c>
      <c r="D9">
        <v>1003697</v>
      </c>
      <c r="E9">
        <v>1026176</v>
      </c>
      <c r="F9">
        <v>1199061</v>
      </c>
      <c r="G9">
        <v>1070809</v>
      </c>
      <c r="H9">
        <v>1015611</v>
      </c>
    </row>
    <row r="10" spans="1:8" x14ac:dyDescent="0.15">
      <c r="A10" s="10"/>
      <c r="B10" s="10"/>
      <c r="C10" s="10" t="s">
        <v>17</v>
      </c>
      <c r="D10">
        <v>70.798058813986131</v>
      </c>
      <c r="E10">
        <v>70.657171126967611</v>
      </c>
      <c r="F10">
        <v>80.722778822759565</v>
      </c>
      <c r="G10">
        <v>71.034792028620643</v>
      </c>
      <c r="H10">
        <v>66.184494775222134</v>
      </c>
    </row>
    <row r="11" spans="1:8" x14ac:dyDescent="0.15">
      <c r="A11" s="10" t="s">
        <v>7</v>
      </c>
      <c r="B11" s="10" t="s">
        <v>12</v>
      </c>
      <c r="C11" s="10" t="s">
        <v>16</v>
      </c>
      <c r="D11">
        <v>3430284</v>
      </c>
      <c r="E11">
        <v>3393608</v>
      </c>
      <c r="F11">
        <v>3242052</v>
      </c>
      <c r="G11">
        <v>3439732</v>
      </c>
      <c r="H11">
        <v>3427135</v>
      </c>
    </row>
    <row r="12" spans="1:8" x14ac:dyDescent="0.15">
      <c r="A12" s="10"/>
      <c r="B12" s="10"/>
      <c r="C12" s="10" t="s">
        <v>17</v>
      </c>
      <c r="D12">
        <v>61.325025761529403</v>
      </c>
      <c r="E12">
        <v>61.636998240218446</v>
      </c>
      <c r="F12">
        <v>59.257729335797677</v>
      </c>
      <c r="G12">
        <v>62.394091834933725</v>
      </c>
      <c r="H12">
        <v>61.109107109328569</v>
      </c>
    </row>
    <row r="13" spans="1:8" x14ac:dyDescent="0.15">
      <c r="A13" s="10"/>
      <c r="B13" s="10" t="s">
        <v>13</v>
      </c>
      <c r="C13" s="10" t="s">
        <v>16</v>
      </c>
      <c r="D13">
        <v>355408</v>
      </c>
      <c r="E13">
        <v>384335</v>
      </c>
      <c r="F13">
        <v>395925</v>
      </c>
      <c r="G13">
        <v>313230</v>
      </c>
      <c r="H13">
        <v>369744</v>
      </c>
    </row>
    <row r="14" spans="1:8" x14ac:dyDescent="0.15">
      <c r="A14" s="10"/>
      <c r="B14" s="10"/>
      <c r="C14" s="10" t="s">
        <v>17</v>
      </c>
      <c r="D14">
        <v>9.3881911153892084</v>
      </c>
      <c r="E14">
        <v>10.173128604640144</v>
      </c>
      <c r="F14">
        <v>10.883108936642536</v>
      </c>
      <c r="G14">
        <v>8.3462076088167159</v>
      </c>
      <c r="H14">
        <v>9.7381033211751014</v>
      </c>
    </row>
    <row r="15" spans="1:8" x14ac:dyDescent="0.15">
      <c r="A15" s="10"/>
      <c r="B15" s="10" t="s">
        <v>14</v>
      </c>
      <c r="C15" s="10" t="s">
        <v>16</v>
      </c>
      <c r="D15">
        <v>3785692</v>
      </c>
      <c r="E15">
        <v>3777943</v>
      </c>
      <c r="F15">
        <v>3637977</v>
      </c>
      <c r="G15">
        <v>3752962</v>
      </c>
      <c r="H15">
        <v>3796879</v>
      </c>
    </row>
    <row r="16" spans="1:8" x14ac:dyDescent="0.15">
      <c r="A16" s="10"/>
      <c r="B16" s="10"/>
      <c r="C16" s="10" t="s">
        <v>17</v>
      </c>
      <c r="D16">
        <v>67.678845082569183</v>
      </c>
      <c r="E16">
        <v>68.617549829752164</v>
      </c>
      <c r="F16">
        <v>66.494385776618387</v>
      </c>
      <c r="G16">
        <v>68.07584302527539</v>
      </c>
      <c r="H16">
        <v>67.701997584618155</v>
      </c>
    </row>
    <row r="17" spans="1:8" x14ac:dyDescent="0.15">
      <c r="A17" s="10"/>
      <c r="B17" s="10" t="s">
        <v>15</v>
      </c>
      <c r="C17" s="10" t="s">
        <v>16</v>
      </c>
      <c r="D17">
        <v>1807920</v>
      </c>
      <c r="E17">
        <v>1727854</v>
      </c>
      <c r="F17">
        <v>1833127</v>
      </c>
      <c r="G17">
        <v>1759951</v>
      </c>
      <c r="H17">
        <v>1811344</v>
      </c>
    </row>
    <row r="18" spans="1:8" x14ac:dyDescent="0.15">
      <c r="A18" s="10"/>
      <c r="B18" s="10"/>
      <c r="C18" s="10" t="s">
        <v>17</v>
      </c>
      <c r="D18">
        <v>32.321154917430817</v>
      </c>
      <c r="E18">
        <v>31.382450170247836</v>
      </c>
      <c r="F18">
        <v>33.505614223381613</v>
      </c>
      <c r="G18">
        <v>31.92415697472461</v>
      </c>
      <c r="H18">
        <v>32.298002415381845</v>
      </c>
    </row>
    <row r="19" spans="1:8" x14ac:dyDescent="0.15">
      <c r="A19" s="10" t="s">
        <v>8</v>
      </c>
      <c r="B19" s="10" t="s">
        <v>12</v>
      </c>
      <c r="C19" s="10" t="s">
        <v>16</v>
      </c>
      <c r="D19">
        <v>7514942</v>
      </c>
      <c r="E19">
        <v>7515616</v>
      </c>
      <c r="F19">
        <v>7494905</v>
      </c>
      <c r="G19">
        <v>7487048</v>
      </c>
      <c r="H19">
        <v>7638966</v>
      </c>
    </row>
    <row r="20" spans="1:8" x14ac:dyDescent="0.15">
      <c r="A20" s="10"/>
      <c r="B20" s="10"/>
      <c r="C20" s="10" t="s">
        <v>17</v>
      </c>
      <c r="D20">
        <v>84.408254258718515</v>
      </c>
      <c r="E20">
        <v>84.483796290571661</v>
      </c>
      <c r="F20">
        <v>84.420117676039581</v>
      </c>
      <c r="G20">
        <v>83.859835014364833</v>
      </c>
      <c r="H20">
        <v>84.74323263091577</v>
      </c>
    </row>
    <row r="21" spans="1:8" x14ac:dyDescent="0.15">
      <c r="A21" s="10"/>
      <c r="B21" s="10" t="s">
        <v>13</v>
      </c>
      <c r="C21" s="10" t="s">
        <v>16</v>
      </c>
      <c r="D21">
        <v>247633</v>
      </c>
      <c r="E21">
        <v>260267</v>
      </c>
      <c r="F21">
        <v>311719</v>
      </c>
      <c r="G21">
        <v>261978</v>
      </c>
      <c r="H21">
        <v>283660</v>
      </c>
    </row>
    <row r="22" spans="1:8" x14ac:dyDescent="0.15">
      <c r="A22" s="10"/>
      <c r="B22" s="10"/>
      <c r="C22" s="10" t="s">
        <v>17</v>
      </c>
      <c r="D22">
        <v>3.1900883405313314</v>
      </c>
      <c r="E22">
        <v>3.3471054026918874</v>
      </c>
      <c r="F22">
        <v>3.9930064519566977</v>
      </c>
      <c r="G22">
        <v>3.3807861788049234</v>
      </c>
      <c r="H22">
        <v>3.5803785260089267</v>
      </c>
    </row>
    <row r="23" spans="1:8" x14ac:dyDescent="0.15">
      <c r="A23" s="10"/>
      <c r="B23" s="10" t="s">
        <v>14</v>
      </c>
      <c r="C23" s="10" t="s">
        <v>16</v>
      </c>
      <c r="D23">
        <v>7762575</v>
      </c>
      <c r="E23">
        <v>7775883</v>
      </c>
      <c r="F23">
        <v>7806624</v>
      </c>
      <c r="G23">
        <v>7749026</v>
      </c>
      <c r="H23">
        <v>7922626</v>
      </c>
    </row>
    <row r="24" spans="1:8" x14ac:dyDescent="0.15">
      <c r="A24" s="10"/>
      <c r="B24" s="10"/>
      <c r="C24" s="10" t="s">
        <v>17</v>
      </c>
      <c r="D24">
        <v>87.189682142905681</v>
      </c>
      <c r="E24">
        <v>87.409483846875531</v>
      </c>
      <c r="F24">
        <v>87.931216837651021</v>
      </c>
      <c r="G24">
        <v>86.794159978942773</v>
      </c>
      <c r="H24">
        <v>87.890028331811109</v>
      </c>
    </row>
    <row r="25" spans="1:8" x14ac:dyDescent="0.15">
      <c r="A25" s="10"/>
      <c r="B25" s="10" t="s">
        <v>15</v>
      </c>
      <c r="C25" s="10" t="s">
        <v>16</v>
      </c>
      <c r="D25">
        <v>1140514</v>
      </c>
      <c r="E25">
        <v>1120043</v>
      </c>
      <c r="F25">
        <v>1071479</v>
      </c>
      <c r="G25">
        <v>1179024</v>
      </c>
      <c r="H25">
        <v>1091623</v>
      </c>
    </row>
    <row r="26" spans="1:8" x14ac:dyDescent="0.15">
      <c r="A26" s="10"/>
      <c r="B26" s="10"/>
      <c r="C26" s="10" t="s">
        <v>17</v>
      </c>
      <c r="D26">
        <v>12.81031785709432</v>
      </c>
      <c r="E26">
        <v>12.590516153124469</v>
      </c>
      <c r="F26">
        <v>12.06878316234898</v>
      </c>
      <c r="G26">
        <v>13.205840021057227</v>
      </c>
      <c r="H26">
        <v>12.109971668188892</v>
      </c>
    </row>
    <row r="27" spans="1:8" x14ac:dyDescent="0.15">
      <c r="A27" s="10" t="s">
        <v>9</v>
      </c>
      <c r="B27" s="10" t="s">
        <v>12</v>
      </c>
      <c r="C27" s="10" t="s">
        <v>16</v>
      </c>
      <c r="D27">
        <v>10999137</v>
      </c>
      <c r="E27">
        <v>10916453</v>
      </c>
      <c r="F27">
        <v>10858987</v>
      </c>
      <c r="G27">
        <v>10944865</v>
      </c>
      <c r="H27">
        <v>11095712</v>
      </c>
    </row>
    <row r="28" spans="1:8" x14ac:dyDescent="0.15">
      <c r="A28" s="10"/>
      <c r="B28" s="10"/>
      <c r="C28" s="10" t="s">
        <v>17</v>
      </c>
      <c r="D28">
        <v>85.316598281340674</v>
      </c>
      <c r="E28">
        <v>84.899550718338148</v>
      </c>
      <c r="F28">
        <v>84.693814996477798</v>
      </c>
      <c r="G28">
        <v>85.130593652625095</v>
      </c>
      <c r="H28">
        <v>85.356476390736645</v>
      </c>
    </row>
    <row r="29" spans="1:8" x14ac:dyDescent="0.15">
      <c r="A29" s="10"/>
      <c r="B29" s="10" t="s">
        <v>13</v>
      </c>
      <c r="C29" s="10" t="s">
        <v>16</v>
      </c>
      <c r="D29">
        <v>304832</v>
      </c>
      <c r="E29">
        <v>305769</v>
      </c>
      <c r="F29">
        <v>388675</v>
      </c>
      <c r="G29">
        <v>286653</v>
      </c>
      <c r="H29">
        <v>277244</v>
      </c>
    </row>
    <row r="30" spans="1:8" x14ac:dyDescent="0.15">
      <c r="A30" s="10"/>
      <c r="B30" s="10"/>
      <c r="C30" s="10" t="s">
        <v>17</v>
      </c>
      <c r="D30">
        <v>2.6966811391644829</v>
      </c>
      <c r="E30">
        <v>2.7246743113796894</v>
      </c>
      <c r="F30">
        <v>3.4556070408232396</v>
      </c>
      <c r="G30">
        <v>2.5522195664023331</v>
      </c>
      <c r="H30">
        <v>2.4377479346618416</v>
      </c>
    </row>
    <row r="31" spans="1:8" x14ac:dyDescent="0.15">
      <c r="A31" s="10"/>
      <c r="B31" s="10" t="s">
        <v>14</v>
      </c>
      <c r="C31" s="10" t="s">
        <v>16</v>
      </c>
      <c r="D31">
        <v>11303969</v>
      </c>
      <c r="E31">
        <v>11222222</v>
      </c>
      <c r="F31">
        <v>11247662</v>
      </c>
      <c r="G31">
        <v>11231518</v>
      </c>
      <c r="H31">
        <v>11372956</v>
      </c>
    </row>
    <row r="32" spans="1:8" x14ac:dyDescent="0.15">
      <c r="A32" s="10"/>
      <c r="B32" s="10"/>
      <c r="C32" s="10" t="s">
        <v>17</v>
      </c>
      <c r="D32">
        <v>87.681077357044316</v>
      </c>
      <c r="E32">
        <v>87.277580534762535</v>
      </c>
      <c r="F32">
        <v>87.725255087874515</v>
      </c>
      <c r="G32">
        <v>87.360218235688109</v>
      </c>
      <c r="H32">
        <v>87.489243620137813</v>
      </c>
    </row>
    <row r="33" spans="1:8" x14ac:dyDescent="0.15">
      <c r="A33" s="10"/>
      <c r="B33" s="10" t="s">
        <v>15</v>
      </c>
      <c r="C33" s="10" t="s">
        <v>16</v>
      </c>
      <c r="D33">
        <v>1588173</v>
      </c>
      <c r="E33">
        <v>1635859</v>
      </c>
      <c r="F33">
        <v>1573802</v>
      </c>
      <c r="G33">
        <v>1625041</v>
      </c>
      <c r="H33">
        <v>1626306</v>
      </c>
    </row>
    <row r="34" spans="1:8" x14ac:dyDescent="0.15">
      <c r="A34" s="10"/>
      <c r="B34" s="10"/>
      <c r="C34" s="10" t="s">
        <v>17</v>
      </c>
      <c r="D34">
        <v>12.318922642955684</v>
      </c>
      <c r="E34">
        <v>12.722419465237463</v>
      </c>
      <c r="F34">
        <v>12.274744912125485</v>
      </c>
      <c r="G34">
        <v>12.639781764311891</v>
      </c>
      <c r="H34">
        <v>12.510756379862189</v>
      </c>
    </row>
    <row r="35" spans="1:8" x14ac:dyDescent="0.15">
      <c r="A35" s="10" t="s">
        <v>10</v>
      </c>
      <c r="B35" s="10" t="s">
        <v>12</v>
      </c>
      <c r="C35" s="10" t="s">
        <v>16</v>
      </c>
      <c r="D35">
        <v>9241618</v>
      </c>
      <c r="E35">
        <v>9298660</v>
      </c>
      <c r="F35">
        <v>9225864</v>
      </c>
      <c r="G35">
        <v>9315845</v>
      </c>
      <c r="H35">
        <v>9375543</v>
      </c>
    </row>
    <row r="36" spans="1:8" x14ac:dyDescent="0.15">
      <c r="A36" s="10"/>
      <c r="B36" s="10"/>
      <c r="C36" s="10" t="s">
        <v>17</v>
      </c>
      <c r="D36">
        <v>72.624614475213605</v>
      </c>
      <c r="E36">
        <v>72.152175814100517</v>
      </c>
      <c r="F36">
        <v>70.653190950683097</v>
      </c>
      <c r="G36">
        <v>70.692092871347199</v>
      </c>
      <c r="H36">
        <v>70.773979420949132</v>
      </c>
    </row>
    <row r="37" spans="1:8" x14ac:dyDescent="0.15">
      <c r="A37" s="10"/>
      <c r="B37" s="10" t="s">
        <v>13</v>
      </c>
      <c r="C37" s="10" t="s">
        <v>16</v>
      </c>
      <c r="D37">
        <v>269666</v>
      </c>
      <c r="E37">
        <v>273827</v>
      </c>
      <c r="F37">
        <v>372936</v>
      </c>
      <c r="G37">
        <v>280858</v>
      </c>
      <c r="H37">
        <v>279580</v>
      </c>
    </row>
    <row r="38" spans="1:8" x14ac:dyDescent="0.15">
      <c r="A38" s="10"/>
      <c r="B38" s="10"/>
      <c r="C38" s="10" t="s">
        <v>17</v>
      </c>
      <c r="D38">
        <v>2.8352218270424898</v>
      </c>
      <c r="E38">
        <v>2.8605627774683842</v>
      </c>
      <c r="F38">
        <v>3.8852356544568072</v>
      </c>
      <c r="G38">
        <v>2.9266092740392193</v>
      </c>
      <c r="H38">
        <v>2.8956648195988803</v>
      </c>
    </row>
    <row r="39" spans="1:8" x14ac:dyDescent="0.15">
      <c r="A39" s="10"/>
      <c r="B39" s="10" t="s">
        <v>14</v>
      </c>
      <c r="C39" s="10" t="s">
        <v>16</v>
      </c>
      <c r="D39">
        <v>9511284</v>
      </c>
      <c r="E39">
        <v>9572487</v>
      </c>
      <c r="F39">
        <v>9598800</v>
      </c>
      <c r="G39">
        <v>9596703</v>
      </c>
      <c r="H39">
        <v>9655123</v>
      </c>
    </row>
    <row r="40" spans="1:8" x14ac:dyDescent="0.15">
      <c r="A40" s="10"/>
      <c r="B40" s="10"/>
      <c r="C40" s="10" t="s">
        <v>17</v>
      </c>
      <c r="D40">
        <v>74.743766044459719</v>
      </c>
      <c r="E40">
        <v>74.276913555522157</v>
      </c>
      <c r="F40">
        <v>73.509196460886145</v>
      </c>
      <c r="G40">
        <v>72.823347719368059</v>
      </c>
      <c r="H40">
        <v>72.884469359132879</v>
      </c>
    </row>
    <row r="41" spans="1:8" x14ac:dyDescent="0.15">
      <c r="A41" s="10"/>
      <c r="B41" s="10" t="s">
        <v>15</v>
      </c>
      <c r="C41" s="10" t="s">
        <v>16</v>
      </c>
      <c r="D41">
        <v>3213903</v>
      </c>
      <c r="E41">
        <v>3315080</v>
      </c>
      <c r="F41">
        <v>3459158</v>
      </c>
      <c r="G41">
        <v>3581355</v>
      </c>
      <c r="H41">
        <v>3592038</v>
      </c>
    </row>
    <row r="42" spans="1:8" x14ac:dyDescent="0.15">
      <c r="A42" s="10"/>
      <c r="B42" s="10"/>
      <c r="C42" s="10" t="s">
        <v>17</v>
      </c>
      <c r="D42">
        <v>25.256233955540296</v>
      </c>
      <c r="E42">
        <v>25.723086444477843</v>
      </c>
      <c r="F42">
        <v>26.490803539113855</v>
      </c>
      <c r="G42">
        <v>27.176652280631941</v>
      </c>
      <c r="H42">
        <v>27.115530640867121</v>
      </c>
    </row>
    <row r="43" spans="1:8" x14ac:dyDescent="0.15">
      <c r="A43" s="10" t="s">
        <v>11</v>
      </c>
      <c r="B43" s="10" t="s">
        <v>12</v>
      </c>
      <c r="C43" s="10" t="s">
        <v>16</v>
      </c>
      <c r="D43">
        <v>1291260</v>
      </c>
      <c r="E43">
        <v>1362233</v>
      </c>
      <c r="F43">
        <v>1285502</v>
      </c>
      <c r="G43">
        <v>1345345</v>
      </c>
      <c r="H43">
        <v>1496305</v>
      </c>
    </row>
    <row r="44" spans="1:8" x14ac:dyDescent="0.15">
      <c r="A44" s="10"/>
      <c r="B44" s="10"/>
      <c r="C44" s="10" t="s">
        <v>17</v>
      </c>
      <c r="D44">
        <v>10.946439876556481</v>
      </c>
      <c r="E44">
        <v>11.420295944660776</v>
      </c>
      <c r="F44">
        <v>10.643616986043677</v>
      </c>
      <c r="G44">
        <v>10.976814916024017</v>
      </c>
      <c r="H44">
        <v>12.018055536033764</v>
      </c>
    </row>
    <row r="45" spans="1:8" x14ac:dyDescent="0.15">
      <c r="A45" s="10"/>
      <c r="B45" s="10" t="s">
        <v>13</v>
      </c>
      <c r="C45" s="10" t="s">
        <v>16</v>
      </c>
      <c r="D45">
        <v>17198</v>
      </c>
      <c r="E45">
        <v>21497</v>
      </c>
      <c r="F45">
        <v>35663</v>
      </c>
      <c r="G45">
        <v>24879</v>
      </c>
      <c r="H45">
        <v>28139</v>
      </c>
    </row>
    <row r="46" spans="1:8" x14ac:dyDescent="0.15">
      <c r="A46" s="10"/>
      <c r="B46" s="10"/>
      <c r="C46" s="10" t="s">
        <v>17</v>
      </c>
      <c r="D46">
        <v>1.3143715732564591</v>
      </c>
      <c r="E46">
        <v>1.5535545229199339</v>
      </c>
      <c r="F46">
        <v>2.6993600345149926</v>
      </c>
      <c r="G46">
        <v>1.815688529758638</v>
      </c>
      <c r="H46">
        <v>1.8458533078289527</v>
      </c>
    </row>
    <row r="47" spans="1:8" x14ac:dyDescent="0.15">
      <c r="A47" s="10"/>
      <c r="B47" s="10" t="s">
        <v>14</v>
      </c>
      <c r="C47" s="10" t="s">
        <v>16</v>
      </c>
      <c r="D47">
        <v>1308458</v>
      </c>
      <c r="E47">
        <v>1383730</v>
      </c>
      <c r="F47">
        <v>1321165</v>
      </c>
      <c r="G47">
        <v>1370224</v>
      </c>
      <c r="H47">
        <v>1524444</v>
      </c>
    </row>
    <row r="48" spans="1:8" x14ac:dyDescent="0.15">
      <c r="A48" s="10"/>
      <c r="B48" s="10"/>
      <c r="C48" s="10" t="s">
        <v>17</v>
      </c>
      <c r="D48">
        <v>11.092233034399996</v>
      </c>
      <c r="E48">
        <v>11.600516290168756</v>
      </c>
      <c r="F48">
        <v>10.938897205423558</v>
      </c>
      <c r="G48">
        <v>11.179805359587384</v>
      </c>
      <c r="H48">
        <v>12.244062977516922</v>
      </c>
    </row>
    <row r="49" spans="1:8" x14ac:dyDescent="0.15">
      <c r="A49" s="10"/>
      <c r="B49" s="10" t="s">
        <v>15</v>
      </c>
      <c r="C49" s="10" t="s">
        <v>16</v>
      </c>
      <c r="D49">
        <v>10487706</v>
      </c>
      <c r="E49">
        <v>10544446</v>
      </c>
      <c r="F49">
        <v>10756515</v>
      </c>
      <c r="G49">
        <v>10886018</v>
      </c>
      <c r="H49">
        <v>10926031</v>
      </c>
    </row>
    <row r="50" spans="1:8" x14ac:dyDescent="0.15">
      <c r="A50" s="10"/>
      <c r="B50" s="10"/>
      <c r="C50" s="10" t="s">
        <v>17</v>
      </c>
      <c r="D50">
        <v>88.907766965600004</v>
      </c>
      <c r="E50">
        <v>88.399483709831244</v>
      </c>
      <c r="F50">
        <v>89.061102794576442</v>
      </c>
      <c r="G50">
        <v>88.820194640412609</v>
      </c>
      <c r="H50">
        <v>87.755937022483081</v>
      </c>
    </row>
    <row r="53" spans="1:8" x14ac:dyDescent="0.15">
      <c r="A53" s="15" t="s">
        <v>33</v>
      </c>
      <c r="B53" s="15"/>
    </row>
  </sheetData>
  <mergeCells count="1">
    <mergeCell ref="A53:B53"/>
  </mergeCells>
  <phoneticPr fontId="8" type="noConversion"/>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19EA4-95DF-0E49-A0D3-A42FFCB9C134}">
  <dimension ref="A1:G8"/>
  <sheetViews>
    <sheetView zoomScale="238" workbookViewId="0">
      <selection activeCell="D9" sqref="D9"/>
    </sheetView>
  </sheetViews>
  <sheetFormatPr baseColWidth="10" defaultRowHeight="13" x14ac:dyDescent="0.15"/>
  <cols>
    <col min="3" max="7" width="11.1640625" bestFit="1" customWidth="1"/>
  </cols>
  <sheetData>
    <row r="1" spans="1:7" x14ac:dyDescent="0.15">
      <c r="A1" s="16" t="s">
        <v>34</v>
      </c>
      <c r="B1" s="16" t="s">
        <v>35</v>
      </c>
      <c r="C1" s="10" t="s">
        <v>26</v>
      </c>
      <c r="D1" s="10" t="s">
        <v>27</v>
      </c>
      <c r="E1" s="10" t="s">
        <v>28</v>
      </c>
      <c r="F1" s="10" t="s">
        <v>29</v>
      </c>
      <c r="G1" s="10" t="s">
        <v>30</v>
      </c>
    </row>
    <row r="2" spans="1:7" x14ac:dyDescent="0.15">
      <c r="A2" s="11" t="s">
        <v>6</v>
      </c>
      <c r="B2" s="11" t="s">
        <v>12</v>
      </c>
      <c r="C2" s="14">
        <v>344875</v>
      </c>
      <c r="D2" s="14">
        <v>321151</v>
      </c>
      <c r="E2" s="14">
        <v>200731</v>
      </c>
      <c r="F2" s="14">
        <v>344896</v>
      </c>
      <c r="G2" s="14">
        <v>451497</v>
      </c>
    </row>
    <row r="3" spans="1:7" x14ac:dyDescent="0.15">
      <c r="A3" s="11" t="s">
        <v>7</v>
      </c>
      <c r="B3" s="11" t="s">
        <v>12</v>
      </c>
      <c r="C3" s="14">
        <v>3430284</v>
      </c>
      <c r="D3" s="14">
        <v>3393608</v>
      </c>
      <c r="E3" s="14">
        <v>3242052</v>
      </c>
      <c r="F3" s="14">
        <v>3439732</v>
      </c>
      <c r="G3" s="14">
        <v>3427135</v>
      </c>
    </row>
    <row r="4" spans="1:7" x14ac:dyDescent="0.15">
      <c r="A4" s="11" t="s">
        <v>8</v>
      </c>
      <c r="B4" s="11" t="s">
        <v>12</v>
      </c>
      <c r="C4" s="14">
        <v>7514942</v>
      </c>
      <c r="D4" s="14">
        <v>7515616</v>
      </c>
      <c r="E4" s="14">
        <v>7494905</v>
      </c>
      <c r="F4" s="14">
        <v>7487048</v>
      </c>
      <c r="G4" s="14">
        <v>7638966</v>
      </c>
    </row>
    <row r="5" spans="1:7" x14ac:dyDescent="0.15">
      <c r="A5" s="11" t="s">
        <v>9</v>
      </c>
      <c r="B5" s="11" t="s">
        <v>12</v>
      </c>
      <c r="C5" s="14">
        <v>10999137</v>
      </c>
      <c r="D5" s="14">
        <v>10916453</v>
      </c>
      <c r="E5" s="14">
        <v>10858987</v>
      </c>
      <c r="F5" s="14">
        <v>10944865</v>
      </c>
      <c r="G5" s="14">
        <v>11095712</v>
      </c>
    </row>
    <row r="6" spans="1:7" x14ac:dyDescent="0.15">
      <c r="A6" s="11" t="s">
        <v>10</v>
      </c>
      <c r="B6" s="11" t="s">
        <v>12</v>
      </c>
      <c r="C6" s="14">
        <v>9241618</v>
      </c>
      <c r="D6" s="14">
        <v>9298660</v>
      </c>
      <c r="E6" s="14">
        <v>9225864</v>
      </c>
      <c r="F6" s="14">
        <v>9315845</v>
      </c>
      <c r="G6" s="14">
        <v>9375543</v>
      </c>
    </row>
    <row r="7" spans="1:7" x14ac:dyDescent="0.15">
      <c r="A7" s="11" t="s">
        <v>11</v>
      </c>
      <c r="B7" s="11" t="s">
        <v>12</v>
      </c>
      <c r="C7" s="14">
        <v>1291260</v>
      </c>
      <c r="D7" s="14">
        <v>1362233</v>
      </c>
      <c r="E7" s="14">
        <v>1285502</v>
      </c>
      <c r="F7" s="14">
        <v>1345345</v>
      </c>
      <c r="G7" s="14">
        <v>1496305</v>
      </c>
    </row>
    <row r="8" spans="1:7" x14ac:dyDescent="0.15">
      <c r="A8" s="11"/>
      <c r="B8" s="10" t="s">
        <v>31</v>
      </c>
      <c r="C8" s="13">
        <f>SUM(C2:C7)</f>
        <v>32822116</v>
      </c>
      <c r="D8" s="13">
        <f t="shared" ref="D8:G8" si="0">SUM(D2:D7)</f>
        <v>32807721</v>
      </c>
      <c r="E8" s="13">
        <f t="shared" si="0"/>
        <v>32308041</v>
      </c>
      <c r="F8" s="13">
        <f t="shared" si="0"/>
        <v>32877731</v>
      </c>
      <c r="G8" s="13">
        <f t="shared" si="0"/>
        <v>33485158</v>
      </c>
    </row>
  </sheetData>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DA968-1813-E64F-AE46-2F88B304BC72}">
  <dimension ref="A1:G8"/>
  <sheetViews>
    <sheetView zoomScale="250" workbookViewId="0">
      <selection activeCell="B1" sqref="B1:B8"/>
    </sheetView>
  </sheetViews>
  <sheetFormatPr baseColWidth="10" defaultRowHeight="13" x14ac:dyDescent="0.15"/>
  <cols>
    <col min="2" max="2" width="12.6640625" bestFit="1" customWidth="1"/>
  </cols>
  <sheetData>
    <row r="1" spans="1:7" x14ac:dyDescent="0.15">
      <c r="A1" s="16" t="s">
        <v>34</v>
      </c>
      <c r="B1" s="16" t="s">
        <v>35</v>
      </c>
      <c r="C1" s="10" t="s">
        <v>26</v>
      </c>
      <c r="D1" s="10" t="s">
        <v>27</v>
      </c>
      <c r="E1" s="10" t="s">
        <v>28</v>
      </c>
      <c r="F1" s="10" t="s">
        <v>29</v>
      </c>
      <c r="G1" s="10" t="s">
        <v>30</v>
      </c>
    </row>
    <row r="2" spans="1:7" x14ac:dyDescent="0.15">
      <c r="A2" t="s">
        <v>6</v>
      </c>
      <c r="B2" t="s">
        <v>13</v>
      </c>
      <c r="C2" s="12">
        <v>69118</v>
      </c>
      <c r="D2" s="12">
        <v>105004</v>
      </c>
      <c r="E2" s="12">
        <v>85614</v>
      </c>
      <c r="F2" s="12">
        <v>91738</v>
      </c>
      <c r="G2" s="12">
        <v>67407</v>
      </c>
    </row>
    <row r="3" spans="1:7" x14ac:dyDescent="0.15">
      <c r="A3" t="s">
        <v>7</v>
      </c>
      <c r="B3" t="s">
        <v>13</v>
      </c>
      <c r="C3" s="12">
        <v>355408</v>
      </c>
      <c r="D3" s="12">
        <v>384335</v>
      </c>
      <c r="E3" s="12">
        <v>395925</v>
      </c>
      <c r="F3" s="12">
        <v>313230</v>
      </c>
      <c r="G3" s="12">
        <v>369744</v>
      </c>
    </row>
    <row r="4" spans="1:7" x14ac:dyDescent="0.15">
      <c r="A4" t="s">
        <v>8</v>
      </c>
      <c r="B4" t="s">
        <v>13</v>
      </c>
      <c r="C4" s="12">
        <v>247633</v>
      </c>
      <c r="D4" s="12">
        <v>260267</v>
      </c>
      <c r="E4" s="12">
        <v>311719</v>
      </c>
      <c r="F4" s="12">
        <v>261978</v>
      </c>
      <c r="G4" s="12">
        <v>283660</v>
      </c>
    </row>
    <row r="5" spans="1:7" x14ac:dyDescent="0.15">
      <c r="A5" t="s">
        <v>9</v>
      </c>
      <c r="B5" t="s">
        <v>13</v>
      </c>
      <c r="C5" s="12">
        <v>304832</v>
      </c>
      <c r="D5" s="12">
        <v>305769</v>
      </c>
      <c r="E5" s="12">
        <v>388675</v>
      </c>
      <c r="F5" s="12">
        <v>286653</v>
      </c>
      <c r="G5" s="12">
        <v>277244</v>
      </c>
    </row>
    <row r="6" spans="1:7" x14ac:dyDescent="0.15">
      <c r="A6" t="s">
        <v>10</v>
      </c>
      <c r="B6" t="s">
        <v>13</v>
      </c>
      <c r="C6" s="12">
        <v>269666</v>
      </c>
      <c r="D6" s="12">
        <v>273827</v>
      </c>
      <c r="E6" s="12">
        <v>372936</v>
      </c>
      <c r="F6" s="12">
        <v>280858</v>
      </c>
      <c r="G6" s="12">
        <v>279580</v>
      </c>
    </row>
    <row r="7" spans="1:7" x14ac:dyDescent="0.15">
      <c r="A7" t="s">
        <v>11</v>
      </c>
      <c r="B7" t="s">
        <v>13</v>
      </c>
      <c r="C7" s="12">
        <v>17198</v>
      </c>
      <c r="D7" s="12">
        <v>21497</v>
      </c>
      <c r="E7" s="12">
        <v>35663</v>
      </c>
      <c r="F7" s="12">
        <v>24879</v>
      </c>
      <c r="G7" s="12">
        <v>28139</v>
      </c>
    </row>
    <row r="8" spans="1:7" x14ac:dyDescent="0.15">
      <c r="B8" s="10" t="s">
        <v>31</v>
      </c>
      <c r="C8" s="13">
        <f>SUM(C2:C7)</f>
        <v>1263855</v>
      </c>
      <c r="D8" s="13">
        <f t="shared" ref="D8:G8" si="0">SUM(D2:D7)</f>
        <v>1350699</v>
      </c>
      <c r="E8" s="13">
        <f t="shared" si="0"/>
        <v>1590532</v>
      </c>
      <c r="F8" s="13">
        <f t="shared" si="0"/>
        <v>1259336</v>
      </c>
      <c r="G8" s="13">
        <f t="shared" si="0"/>
        <v>1305774</v>
      </c>
    </row>
  </sheetData>
  <pageMargins left="0.7" right="0.7" top="0.75" bottom="0.75"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84EA5-943A-E040-B78B-F2081E3E6F77}">
  <dimension ref="A1:G8"/>
  <sheetViews>
    <sheetView zoomScale="246" workbookViewId="0">
      <selection activeCell="B2" sqref="B2"/>
    </sheetView>
  </sheetViews>
  <sheetFormatPr baseColWidth="10" defaultRowHeight="13" x14ac:dyDescent="0.15"/>
  <cols>
    <col min="3" max="7" width="11.1640625" bestFit="1" customWidth="1"/>
  </cols>
  <sheetData>
    <row r="1" spans="1:7" x14ac:dyDescent="0.15">
      <c r="A1" s="16" t="s">
        <v>34</v>
      </c>
      <c r="B1" s="16" t="s">
        <v>35</v>
      </c>
      <c r="C1" s="10" t="s">
        <v>26</v>
      </c>
      <c r="D1" s="10" t="s">
        <v>27</v>
      </c>
      <c r="E1" s="10" t="s">
        <v>28</v>
      </c>
      <c r="F1" s="10" t="s">
        <v>29</v>
      </c>
      <c r="G1" s="10" t="s">
        <v>30</v>
      </c>
    </row>
    <row r="2" spans="1:7" x14ac:dyDescent="0.15">
      <c r="A2" t="s">
        <v>6</v>
      </c>
      <c r="B2" t="s">
        <v>14</v>
      </c>
      <c r="C2" s="12">
        <v>413993</v>
      </c>
      <c r="D2" s="12">
        <v>426155</v>
      </c>
      <c r="E2" s="12">
        <v>286345</v>
      </c>
      <c r="F2" s="12">
        <v>436634</v>
      </c>
      <c r="G2" s="12">
        <v>518904</v>
      </c>
    </row>
    <row r="3" spans="1:7" x14ac:dyDescent="0.15">
      <c r="A3" t="s">
        <v>7</v>
      </c>
      <c r="B3" t="s">
        <v>14</v>
      </c>
      <c r="C3" s="12">
        <v>3785692</v>
      </c>
      <c r="D3" s="12">
        <v>3777943</v>
      </c>
      <c r="E3" s="12">
        <v>3637977</v>
      </c>
      <c r="F3" s="12">
        <v>3752962</v>
      </c>
      <c r="G3" s="12">
        <v>3796879</v>
      </c>
    </row>
    <row r="4" spans="1:7" x14ac:dyDescent="0.15">
      <c r="A4" t="s">
        <v>8</v>
      </c>
      <c r="B4" t="s">
        <v>14</v>
      </c>
      <c r="C4" s="12">
        <v>7762575</v>
      </c>
      <c r="D4" s="12">
        <v>7775883</v>
      </c>
      <c r="E4" s="12">
        <v>7806624</v>
      </c>
      <c r="F4" s="12">
        <v>7749026</v>
      </c>
      <c r="G4" s="12">
        <v>7922626</v>
      </c>
    </row>
    <row r="5" spans="1:7" x14ac:dyDescent="0.15">
      <c r="A5" t="s">
        <v>9</v>
      </c>
      <c r="B5" t="s">
        <v>14</v>
      </c>
      <c r="C5" s="12">
        <v>11303969</v>
      </c>
      <c r="D5" s="12">
        <v>11222222</v>
      </c>
      <c r="E5" s="12">
        <v>11247662</v>
      </c>
      <c r="F5" s="12">
        <v>11231518</v>
      </c>
      <c r="G5" s="12">
        <v>11372956</v>
      </c>
    </row>
    <row r="6" spans="1:7" x14ac:dyDescent="0.15">
      <c r="A6" t="s">
        <v>10</v>
      </c>
      <c r="B6" t="s">
        <v>14</v>
      </c>
      <c r="C6" s="12">
        <v>9511284</v>
      </c>
      <c r="D6" s="12">
        <v>9572487</v>
      </c>
      <c r="E6" s="12">
        <v>9598800</v>
      </c>
      <c r="F6" s="12">
        <v>9596703</v>
      </c>
      <c r="G6" s="12">
        <v>9655123</v>
      </c>
    </row>
    <row r="7" spans="1:7" x14ac:dyDescent="0.15">
      <c r="A7" t="s">
        <v>11</v>
      </c>
      <c r="B7" t="s">
        <v>14</v>
      </c>
      <c r="C7" s="12">
        <v>1308458</v>
      </c>
      <c r="D7" s="12">
        <v>1383730</v>
      </c>
      <c r="E7" s="12">
        <v>1321165</v>
      </c>
      <c r="F7" s="12">
        <v>1370224</v>
      </c>
      <c r="G7" s="12">
        <v>1524444</v>
      </c>
    </row>
    <row r="8" spans="1:7" x14ac:dyDescent="0.15">
      <c r="B8" s="10" t="s">
        <v>31</v>
      </c>
      <c r="C8" s="13">
        <f>SUM(C2:C7)</f>
        <v>34085971</v>
      </c>
      <c r="D8" s="13">
        <f t="shared" ref="D8:G8" si="0">SUM(D2:D7)</f>
        <v>34158420</v>
      </c>
      <c r="E8" s="13">
        <f t="shared" si="0"/>
        <v>33898573</v>
      </c>
      <c r="F8" s="13">
        <f t="shared" si="0"/>
        <v>34137067</v>
      </c>
      <c r="G8" s="13">
        <f t="shared" si="0"/>
        <v>34790932</v>
      </c>
    </row>
  </sheetData>
  <pageMargins left="0.7" right="0.7" top="0.75" bottom="0.75" header="0.3" footer="0.3"/>
  <pageSetup paperSize="9"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913F-B2EC-374D-A012-7549776D0E3F}">
  <dimension ref="A1:G8"/>
  <sheetViews>
    <sheetView zoomScale="234" workbookViewId="0">
      <selection activeCell="C15" sqref="C15"/>
    </sheetView>
  </sheetViews>
  <sheetFormatPr baseColWidth="10" defaultRowHeight="13" x14ac:dyDescent="0.15"/>
  <cols>
    <col min="3" max="7" width="11.1640625" bestFit="1" customWidth="1"/>
  </cols>
  <sheetData>
    <row r="1" spans="1:7" x14ac:dyDescent="0.15">
      <c r="A1" s="16" t="s">
        <v>34</v>
      </c>
      <c r="B1" s="16" t="s">
        <v>35</v>
      </c>
      <c r="C1" s="10" t="s">
        <v>26</v>
      </c>
      <c r="D1" s="10" t="s">
        <v>27</v>
      </c>
      <c r="E1" s="10" t="s">
        <v>28</v>
      </c>
      <c r="F1" s="10" t="s">
        <v>29</v>
      </c>
      <c r="G1" s="10" t="s">
        <v>30</v>
      </c>
    </row>
    <row r="2" spans="1:7" x14ac:dyDescent="0.15">
      <c r="A2" t="s">
        <v>6</v>
      </c>
      <c r="B2" t="s">
        <v>15</v>
      </c>
      <c r="C2" s="12">
        <v>1003697</v>
      </c>
      <c r="D2" s="12">
        <v>1026176</v>
      </c>
      <c r="E2" s="12">
        <v>1199061</v>
      </c>
      <c r="F2" s="12">
        <v>1070809</v>
      </c>
      <c r="G2" s="12">
        <v>1015611</v>
      </c>
    </row>
    <row r="3" spans="1:7" x14ac:dyDescent="0.15">
      <c r="A3" t="s">
        <v>7</v>
      </c>
      <c r="B3" t="s">
        <v>15</v>
      </c>
      <c r="C3" s="12">
        <v>1807920</v>
      </c>
      <c r="D3" s="12">
        <v>1727854</v>
      </c>
      <c r="E3" s="12">
        <v>1833127</v>
      </c>
      <c r="F3" s="12">
        <v>1759951</v>
      </c>
      <c r="G3" s="12">
        <v>1811344</v>
      </c>
    </row>
    <row r="4" spans="1:7" x14ac:dyDescent="0.15">
      <c r="A4" t="s">
        <v>8</v>
      </c>
      <c r="B4" t="s">
        <v>15</v>
      </c>
      <c r="C4" s="12">
        <v>1140514</v>
      </c>
      <c r="D4" s="12">
        <v>1120043</v>
      </c>
      <c r="E4" s="12">
        <v>1071479</v>
      </c>
      <c r="F4" s="12">
        <v>1179024</v>
      </c>
      <c r="G4" s="12">
        <v>1091623</v>
      </c>
    </row>
    <row r="5" spans="1:7" x14ac:dyDescent="0.15">
      <c r="A5" t="s">
        <v>9</v>
      </c>
      <c r="B5" t="s">
        <v>15</v>
      </c>
      <c r="C5" s="12">
        <v>1588173</v>
      </c>
      <c r="D5" s="12">
        <v>1635859</v>
      </c>
      <c r="E5" s="12">
        <v>1573802</v>
      </c>
      <c r="F5" s="12">
        <v>1625041</v>
      </c>
      <c r="G5" s="12">
        <v>1626306</v>
      </c>
    </row>
    <row r="6" spans="1:7" x14ac:dyDescent="0.15">
      <c r="A6" t="s">
        <v>10</v>
      </c>
      <c r="B6" t="s">
        <v>15</v>
      </c>
      <c r="C6" s="12">
        <v>3213903</v>
      </c>
      <c r="D6" s="12">
        <v>3315080</v>
      </c>
      <c r="E6" s="12">
        <v>3459158</v>
      </c>
      <c r="F6" s="12">
        <v>3581355</v>
      </c>
      <c r="G6" s="12">
        <v>3592038</v>
      </c>
    </row>
    <row r="7" spans="1:7" x14ac:dyDescent="0.15">
      <c r="A7" t="s">
        <v>11</v>
      </c>
      <c r="B7" t="s">
        <v>15</v>
      </c>
      <c r="C7" s="12">
        <v>10487706</v>
      </c>
      <c r="D7" s="12">
        <v>10544446</v>
      </c>
      <c r="E7" s="12">
        <v>10756515</v>
      </c>
      <c r="F7" s="12">
        <v>10886018</v>
      </c>
      <c r="G7" s="12">
        <v>10926031</v>
      </c>
    </row>
    <row r="8" spans="1:7" x14ac:dyDescent="0.15">
      <c r="B8" s="10" t="s">
        <v>32</v>
      </c>
      <c r="C8" s="13">
        <f>SUM(C2:C7)</f>
        <v>19241913</v>
      </c>
      <c r="D8" s="13">
        <f t="shared" ref="D8:G8" si="0">SUM(D2:D7)</f>
        <v>19369458</v>
      </c>
      <c r="E8" s="13">
        <f t="shared" si="0"/>
        <v>19893142</v>
      </c>
      <c r="F8" s="13">
        <f t="shared" si="0"/>
        <v>20102198</v>
      </c>
      <c r="G8" s="13">
        <f t="shared" si="0"/>
        <v>20062953</v>
      </c>
    </row>
  </sheetData>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1CED62-A8A7-2446-B025-CDAE5E2125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Note</vt:lpstr>
      <vt:lpstr>People</vt:lpstr>
      <vt:lpstr>Employment</vt:lpstr>
      <vt:lpstr>Unemployment</vt:lpstr>
      <vt:lpstr>Activity</vt:lpstr>
      <vt:lpstr>Inactivity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Areeba Malik</cp:lastModifiedBy>
  <cp:lastPrinted>2026-02-09T16:41:04Z</cp:lastPrinted>
  <dcterms:modified xsi:type="dcterms:W3CDTF">2026-02-09T16:51:48Z</dcterms:modified>
</cp:coreProperties>
</file>